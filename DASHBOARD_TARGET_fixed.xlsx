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INPUT HARIAN" sheetId="2" state="visible" r:id="rId2"/>
    <sheet xmlns:r="http://schemas.openxmlformats.org/officeDocument/2006/relationships" name="DASHBOARD BULANAN" sheetId="3" state="visible" r:id="rId3"/>
    <sheet xmlns:r="http://schemas.openxmlformats.org/officeDocument/2006/relationships" name="DASHBOARD HARIAN" sheetId="4" state="visible" r:id="rId4"/>
    <sheet xmlns:r="http://schemas.openxmlformats.org/officeDocument/2006/relationships" name="DASHBOARD HARIAN PROGRAM" sheetId="5" state="visible" r:id="rId5"/>
    <sheet xmlns:r="http://schemas.openxmlformats.org/officeDocument/2006/relationships" name="TRACKER KUALITATIF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\ mmm\ yyyy"/>
    <numFmt numFmtId="166" formatCode="0.0%"/>
    <numFmt numFmtId="167" formatCode="dd/mm/yyyy"/>
  </numFmts>
  <fonts count="4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7A5F"/>
      <sz val="10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color rgb="FF0D7A5F"/>
      <sz val="11"/>
    </font>
    <font>
      <name val="Arial"/>
      <charset val="1"/>
      <family val="0"/>
      <b val="1"/>
      <color rgb="FF006400"/>
      <sz val="10"/>
    </font>
    <font>
      <name val="Arial"/>
      <charset val="1"/>
      <family val="0"/>
      <i val="1"/>
      <color rgb="FF555555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70C0"/>
      <sz val="9"/>
    </font>
    <font>
      <name val="Arial"/>
      <charset val="1"/>
      <family val="0"/>
      <color rgb="FF0070C0"/>
      <sz val="9"/>
    </font>
    <font>
      <name val="Arial"/>
      <charset val="1"/>
      <family val="0"/>
      <b val="1"/>
      <color rgb="FF1A1A2E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777777"/>
      <sz val="8"/>
    </font>
    <font>
      <name val="Arial"/>
      <charset val="1"/>
      <family val="0"/>
      <color rgb="FF00640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color rgb="FFFFFFFF"/>
      <sz val="11"/>
    </font>
    <font>
      <name val="Courier New"/>
      <charset val="1"/>
      <family val="0"/>
      <color rgb="FF0D7A5F"/>
      <sz val="10"/>
    </font>
    <font>
      <name val="Courier New"/>
      <charset val="1"/>
      <family val="0"/>
      <color rgb="FFC0622A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D2137"/>
      <sz val="9"/>
    </font>
    <font>
      <name val="Arial"/>
      <charset val="1"/>
      <family val="0"/>
      <b val="1"/>
      <color rgb="FF000000"/>
      <sz val="9"/>
    </font>
    <font>
      <name val="Courier New"/>
      <charset val="1"/>
      <family val="0"/>
      <color rgb="FF1A6B3C"/>
      <sz val="9"/>
    </font>
    <font>
      <name val="Arial"/>
      <charset val="1"/>
      <family val="0"/>
      <b val="1"/>
      <color rgb="FF1A6B3C"/>
      <sz val="10"/>
    </font>
    <font>
      <name val="Arial"/>
      <charset val="1"/>
      <family val="0"/>
      <b val="1"/>
      <color rgb="FF0000CC"/>
      <sz val="10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6B87A3"/>
      <sz val="9"/>
    </font>
    <font>
      <name val="Arial"/>
      <charset val="1"/>
      <family val="0"/>
      <b val="1"/>
      <color rgb="FF1E6FD9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0D1F35"/>
      <sz val="10"/>
    </font>
  </fonts>
  <fills count="36">
    <fill>
      <patternFill/>
    </fill>
    <fill>
      <patternFill patternType="gray125"/>
    </fill>
    <fill>
      <patternFill patternType="solid">
        <fgColor rgb="FF1B3A5C"/>
        <bgColor rgb="FF1E3A5F"/>
      </patternFill>
    </fill>
    <fill>
      <patternFill patternType="solid">
        <fgColor rgb="FFE8F5E9"/>
        <bgColor rgb="FFE3FAF0"/>
      </patternFill>
    </fill>
    <fill>
      <patternFill patternType="solid">
        <fgColor rgb="FFFFFDE7"/>
        <bgColor rgb="FFFFFAE3"/>
      </patternFill>
    </fill>
    <fill>
      <patternFill patternType="solid">
        <fgColor rgb="FFF5F5F5"/>
        <bgColor rgb="FFF0F4F8"/>
      </patternFill>
    </fill>
    <fill>
      <patternFill patternType="solid">
        <fgColor rgb="FF0D7A5F"/>
        <bgColor rgb="FF1A6B3C"/>
      </patternFill>
    </fill>
    <fill>
      <patternFill patternType="solid">
        <fgColor rgb="FF1E6FD9"/>
        <bgColor rgb="FF0070C0"/>
      </patternFill>
    </fill>
    <fill>
      <patternFill patternType="solid">
        <fgColor rgb="FFEEF4FA"/>
        <bgColor rgb="FFF0F4F8"/>
      </patternFill>
    </fill>
    <fill>
      <patternFill patternType="solid">
        <fgColor rgb="FFFFF9E6"/>
        <bgColor rgb="FFFFFAE3"/>
      </patternFill>
    </fill>
    <fill>
      <patternFill patternType="solid">
        <fgColor rgb="FFFFF0F0"/>
        <bgColor rgb="FFFFEBEB"/>
      </patternFill>
    </fill>
    <fill>
      <patternFill patternType="solid">
        <fgColor rgb="FFE3F2FF"/>
        <bgColor rgb="FFEBF3FB"/>
      </patternFill>
    </fill>
    <fill>
      <patternFill patternType="solid">
        <fgColor rgb="FFFFFAE3"/>
        <bgColor rgb="FFFFF9E6"/>
      </patternFill>
    </fill>
    <fill>
      <patternFill patternType="solid">
        <fgColor rgb="FFFFFFFF"/>
        <bgColor rgb="FFFAFCFF"/>
      </patternFill>
    </fill>
    <fill>
      <patternFill patternType="solid">
        <fgColor rgb="FFC8960C"/>
        <bgColor rgb="FFC0622A"/>
      </patternFill>
    </fill>
    <fill>
      <patternFill patternType="solid">
        <fgColor rgb="FFF9F9F9"/>
        <bgColor rgb="FFF7FAFE"/>
      </patternFill>
    </fill>
    <fill>
      <patternFill patternType="solid">
        <fgColor rgb="FFD6F0EC"/>
        <bgColor rgb="FFD6EAF8"/>
      </patternFill>
    </fill>
    <fill>
      <patternFill patternType="solid">
        <fgColor rgb="FF7B2D8B"/>
        <bgColor rgb="FF800080"/>
      </patternFill>
    </fill>
    <fill>
      <patternFill patternType="solid">
        <fgColor rgb="FFF3E3FA"/>
        <bgColor rgb="FFFFEBEB"/>
      </patternFill>
    </fill>
    <fill>
      <patternFill patternType="solid">
        <fgColor rgb="FFD6E4F0"/>
        <bgColor rgb="FFD5E3F0"/>
      </patternFill>
    </fill>
    <fill>
      <patternFill patternType="solid">
        <fgColor rgb="FFC0622A"/>
        <bgColor rgb="FFC8960C"/>
      </patternFill>
    </fill>
    <fill>
      <patternFill patternType="solid">
        <fgColor rgb="FF0D2137"/>
        <bgColor rgb="FF0D1F35"/>
      </patternFill>
    </fill>
    <fill>
      <patternFill patternType="solid">
        <fgColor rgb="FFF0F4F8"/>
        <bgColor rgb="FFEEF4FA"/>
      </patternFill>
    </fill>
    <fill>
      <patternFill patternType="solid">
        <fgColor rgb="FF1E3A5F"/>
        <bgColor rgb="FF1B3A5C"/>
      </patternFill>
    </fill>
    <fill>
      <patternFill patternType="solid">
        <fgColor rgb="FF2E6DA4"/>
        <bgColor rgb="FF1E6FD9"/>
      </patternFill>
    </fill>
    <fill>
      <patternFill patternType="solid">
        <fgColor rgb="FFEBF3FB"/>
        <bgColor rgb="FFEEF4FA"/>
      </patternFill>
    </fill>
    <fill>
      <patternFill patternType="solid">
        <fgColor rgb="FFD6EAF8"/>
        <bgColor rgb="FFD6E4F0"/>
      </patternFill>
    </fill>
    <fill>
      <patternFill patternType="solid">
        <fgColor rgb="FFFFF9C4"/>
        <bgColor rgb="FFFFFAE3"/>
      </patternFill>
    </fill>
    <fill>
      <patternFill patternType="solid">
        <fgColor rgb="FF0D1F35"/>
        <bgColor rgb="FF0D2137"/>
      </patternFill>
    </fill>
    <fill>
      <patternFill patternType="solid">
        <fgColor rgb="FFE6EDF7"/>
        <bgColor rgb="FFE3F2FF"/>
      </patternFill>
    </fill>
    <fill>
      <patternFill patternType="solid">
        <fgColor rgb="FFF7FAFE"/>
        <bgColor rgb="FFF9F9F9"/>
      </patternFill>
    </fill>
    <fill>
      <patternFill patternType="solid">
        <fgColor rgb="FFFAFCFF"/>
        <bgColor rgb="FFF7FAFE"/>
      </patternFill>
    </fill>
    <fill>
      <patternFill patternType="solid">
        <fgColor rgb="FFFFEBEB"/>
        <bgColor rgb="FFFFF0F0"/>
      </patternFill>
    </fill>
    <fill>
      <patternFill patternType="solid">
        <fgColor rgb="FF0099CC"/>
        <bgColor rgb="FF0070C0"/>
      </patternFill>
    </fill>
    <fill>
      <patternFill patternType="solid">
        <fgColor rgb="FFE3FAF0"/>
        <bgColor rgb="FFE8F5E9"/>
      </patternFill>
    </fill>
    <fill>
      <patternFill patternType="solid">
        <fgColor rgb="FFFFF3E3"/>
        <bgColor rgb="FFFFF9E6"/>
      </patternFill>
    </fill>
  </fills>
  <borders count="18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thin">
        <color rgb="FFD5E3F0"/>
      </left>
      <right style="thin">
        <color rgb="FFD5E3F0"/>
      </right>
      <top style="thin">
        <color rgb="FFD5E3F0"/>
      </top>
      <bottom style="thin">
        <color rgb="FFD5E3F0"/>
      </bottom>
      <diagonal/>
    </border>
    <border>
      <left style="medium"/>
      <right/>
      <top style="medium"/>
      <bottom style="medium"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medium">
        <color rgb="FF2E6DA4"/>
      </left>
      <right style="medium">
        <color rgb="FF2E6DA4"/>
      </right>
      <top style="medium">
        <color rgb="FF2E6DA4"/>
      </top>
      <bottom style="medium">
        <color rgb="FF2E6DA4"/>
      </bottom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/>
      <top style="medium"/>
      <bottom style="medium"/>
      <diagonal/>
    </border>
    <border>
      <left/>
      <right/>
      <top style="thin">
        <color rgb="FFB0C4DE"/>
      </top>
      <bottom/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/>
      <top style="medium">
        <color rgb="FF2E6DA4"/>
      </top>
      <bottom/>
      <diagonal/>
    </border>
    <border>
      <left/>
      <right style="medium">
        <color rgb="FF2E6DA4"/>
      </right>
      <top style="medium">
        <color rgb="FF2E6DA4"/>
      </top>
      <bottom/>
      <diagonal/>
    </border>
    <border>
      <left/>
      <right style="medium">
        <color rgb="FF2E6DA4"/>
      </right>
      <top style="medium">
        <color rgb="FF2E6DA4"/>
      </top>
      <bottom style="medium">
        <color rgb="FF2E6DA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right" vertical="center" wrapText="1"/>
    </xf>
    <xf numFmtId="0" fontId="7" fillId="4" borderId="3" applyAlignment="1" pivotButton="0" quotePrefix="0" xfId="0">
      <alignment horizontal="center" vertical="center" wrapText="1"/>
    </xf>
    <xf numFmtId="49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3" fontId="14" fillId="9" borderId="2" applyAlignment="1" pivotButton="0" quotePrefix="0" xfId="0">
      <alignment horizontal="right" vertical="center" wrapText="1"/>
    </xf>
    <xf numFmtId="3" fontId="14" fillId="10" borderId="3" applyAlignment="1" pivotButton="0" quotePrefix="0" xfId="0">
      <alignment horizontal="right" vertical="center" wrapText="1"/>
    </xf>
    <xf numFmtId="164" fontId="14" fillId="10" borderId="3" applyAlignment="1" pivotButton="0" quotePrefix="0" xfId="0">
      <alignment horizontal="right" vertical="center" wrapText="1"/>
    </xf>
    <xf numFmtId="3" fontId="13" fillId="8" borderId="2" applyAlignment="1" pivotButton="0" quotePrefix="0" xfId="0">
      <alignment horizontal="right" vertical="center" wrapText="1"/>
    </xf>
    <xf numFmtId="164" fontId="13" fillId="8" borderId="2" applyAlignment="1" pivotButton="0" quotePrefix="0" xfId="0">
      <alignment horizontal="right" vertical="center" wrapText="1"/>
    </xf>
    <xf numFmtId="0" fontId="15" fillId="11" borderId="4" applyAlignment="1" pivotButton="0" quotePrefix="0" xfId="0">
      <alignment horizontal="center" vertical="center"/>
    </xf>
    <xf numFmtId="0" fontId="16" fillId="12" borderId="4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center" vertical="center" wrapText="1"/>
    </xf>
    <xf numFmtId="3" fontId="13" fillId="13" borderId="2" applyAlignment="1" pivotButton="0" quotePrefix="0" xfId="0">
      <alignment horizontal="right" vertical="center" wrapText="1"/>
    </xf>
    <xf numFmtId="164" fontId="13" fillId="13" borderId="2" applyAlignment="1" pivotButton="0" quotePrefix="0" xfId="0">
      <alignment horizontal="right" vertical="center" wrapText="1"/>
    </xf>
    <xf numFmtId="0" fontId="0" fillId="13" borderId="4" applyAlignment="1" pivotButton="0" quotePrefix="0" xfId="0">
      <alignment horizontal="general" vertical="bottom"/>
    </xf>
    <xf numFmtId="0" fontId="16" fillId="13" borderId="4" applyAlignment="1" pivotButton="0" quotePrefix="0" xfId="0">
      <alignment horizontal="left" vertical="center" wrapText="1"/>
    </xf>
    <xf numFmtId="0" fontId="17" fillId="14" borderId="5" applyAlignment="1" pivotButton="0" quotePrefix="0" xfId="0">
      <alignment horizontal="center" vertical="center" wrapText="1"/>
    </xf>
    <xf numFmtId="3" fontId="18" fillId="14" borderId="3" applyAlignment="1" pivotButton="0" quotePrefix="0" xfId="0">
      <alignment horizontal="right" vertical="center" wrapText="1"/>
    </xf>
    <xf numFmtId="0" fontId="0" fillId="14" borderId="3" applyAlignment="1" pivotButton="0" quotePrefix="0" xfId="0">
      <alignment horizontal="general" vertical="bottom"/>
    </xf>
    <xf numFmtId="164" fontId="18" fillId="14" borderId="3" applyAlignment="1" pivotButton="0" quotePrefix="0" xfId="0">
      <alignment horizontal="right" vertical="center" wrapText="1"/>
    </xf>
    <xf numFmtId="0" fontId="19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12" fillId="17" borderId="4" applyAlignment="1" pivotButton="0" quotePrefix="0" xfId="0">
      <alignment horizontal="center" vertical="center" wrapText="1"/>
    </xf>
    <xf numFmtId="165" fontId="14" fillId="9" borderId="2" applyAlignment="1" pivotButton="0" quotePrefix="0" xfId="0">
      <alignment horizontal="center" vertical="center" wrapText="1"/>
    </xf>
    <xf numFmtId="0" fontId="20" fillId="8" borderId="2" applyAlignment="1" pivotButton="0" quotePrefix="0" xfId="0">
      <alignment horizontal="center" vertical="center" wrapText="1"/>
    </xf>
    <xf numFmtId="0" fontId="16" fillId="18" borderId="4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3" fontId="20" fillId="8" borderId="2" applyAlignment="1" pivotButton="0" quotePrefix="0" xfId="0">
      <alignment horizontal="right" vertical="center" wrapText="1"/>
    </xf>
    <xf numFmtId="166" fontId="13" fillId="8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3" fontId="20" fillId="13" borderId="2" applyAlignment="1" pivotButton="0" quotePrefix="0" xfId="0">
      <alignment horizontal="right" vertical="center" wrapText="1"/>
    </xf>
    <xf numFmtId="166" fontId="13" fillId="13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0" fontId="18" fillId="14" borderId="5" applyAlignment="1" pivotButton="0" quotePrefix="0" xfId="0">
      <alignment horizontal="center" vertical="center" wrapText="1"/>
    </xf>
    <xf numFmtId="166" fontId="18" fillId="14" borderId="3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left" vertical="center" wrapText="1"/>
    </xf>
    <xf numFmtId="0" fontId="11" fillId="20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left" vertical="center" wrapText="1"/>
    </xf>
    <xf numFmtId="0" fontId="24" fillId="13" borderId="2" applyAlignment="1" pivotButton="0" quotePrefix="0" xfId="0">
      <alignment horizontal="left" vertical="center" wrapText="1"/>
    </xf>
    <xf numFmtId="165" fontId="20" fillId="13" borderId="2" applyAlignment="1" pivotButton="0" quotePrefix="0" xfId="0">
      <alignment horizontal="center" vertical="center" wrapText="1"/>
    </xf>
    <xf numFmtId="165" fontId="20" fillId="8" borderId="2" applyAlignment="1" pivotButton="0" quotePrefix="0" xfId="0">
      <alignment horizontal="center" vertical="center" wrapText="1"/>
    </xf>
    <xf numFmtId="164" fontId="20" fillId="13" borderId="2" applyAlignment="1" pivotButton="0" quotePrefix="0" xfId="0">
      <alignment horizontal="right" vertical="center" wrapText="1"/>
    </xf>
    <xf numFmtId="1" fontId="13" fillId="13" borderId="2" applyAlignment="1" pivotButton="0" quotePrefix="0" xfId="0">
      <alignment horizontal="right" vertical="center" wrapText="1"/>
    </xf>
    <xf numFmtId="164" fontId="20" fillId="8" borderId="2" applyAlignment="1" pivotButton="0" quotePrefix="0" xfId="0">
      <alignment horizontal="right" vertical="center" wrapText="1"/>
    </xf>
    <xf numFmtId="1" fontId="13" fillId="8" borderId="2" applyAlignment="1" pivotButton="0" quotePrefix="0" xfId="0">
      <alignment horizontal="right" vertical="center" wrapText="1"/>
    </xf>
    <xf numFmtId="1" fontId="18" fillId="14" borderId="3" applyAlignment="1" pivotButton="0" quotePrefix="0" xfId="0">
      <alignment horizontal="right" vertical="center" wrapText="1"/>
    </xf>
    <xf numFmtId="0" fontId="4" fillId="21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0" fontId="25" fillId="22" borderId="0" applyAlignment="1" pivotButton="0" quotePrefix="0" xfId="0">
      <alignment horizontal="left" vertical="center" wrapText="1"/>
    </xf>
    <xf numFmtId="0" fontId="26" fillId="23" borderId="0" applyAlignment="1" pivotButton="0" quotePrefix="0" xfId="0">
      <alignment horizontal="center" vertical="center"/>
    </xf>
    <xf numFmtId="0" fontId="11" fillId="23" borderId="0" applyAlignment="1" pivotButton="0" quotePrefix="0" xfId="0">
      <alignment horizontal="center" vertical="center"/>
    </xf>
    <xf numFmtId="0" fontId="12" fillId="24" borderId="6" applyAlignment="1" pivotButton="0" quotePrefix="0" xfId="0">
      <alignment horizontal="center" vertical="center" wrapText="1"/>
    </xf>
    <xf numFmtId="0" fontId="27" fillId="25" borderId="6" applyAlignment="1" pivotButton="0" quotePrefix="0" xfId="0">
      <alignment horizontal="left" vertical="center"/>
    </xf>
    <xf numFmtId="49" fontId="28" fillId="13" borderId="6" applyAlignment="1" pivotButton="0" quotePrefix="0" xfId="0">
      <alignment horizontal="right" vertical="center"/>
    </xf>
    <xf numFmtId="0" fontId="29" fillId="25" borderId="6" applyAlignment="1" pivotButton="0" quotePrefix="0" xfId="0">
      <alignment horizontal="center" vertical="center"/>
    </xf>
    <xf numFmtId="0" fontId="27" fillId="25" borderId="6" applyAlignment="1" pivotButton="0" quotePrefix="0" xfId="0">
      <alignment horizontal="left" vertical="center" wrapText="1"/>
    </xf>
    <xf numFmtId="0" fontId="27" fillId="25" borderId="6" applyAlignment="1" pivotButton="0" quotePrefix="0" xfId="0">
      <alignment horizontal="center" vertical="center"/>
    </xf>
    <xf numFmtId="3" fontId="27" fillId="25" borderId="6" applyAlignment="1" pivotButton="0" quotePrefix="0" xfId="0">
      <alignment horizontal="right" vertical="center"/>
    </xf>
    <xf numFmtId="166" fontId="27" fillId="25" borderId="6" applyAlignment="1" pivotButton="0" quotePrefix="0" xfId="0">
      <alignment horizontal="center" vertical="center"/>
    </xf>
    <xf numFmtId="0" fontId="30" fillId="25" borderId="6" applyAlignment="1" pivotButton="0" quotePrefix="0" xfId="0">
      <alignment horizontal="left" vertical="center"/>
    </xf>
    <xf numFmtId="164" fontId="27" fillId="25" borderId="6" applyAlignment="1" pivotButton="0" quotePrefix="0" xfId="0">
      <alignment horizontal="center" vertical="center"/>
    </xf>
    <xf numFmtId="1" fontId="27" fillId="25" borderId="6" applyAlignment="1" pivotButton="0" quotePrefix="0" xfId="0">
      <alignment horizontal="center" vertical="center"/>
    </xf>
    <xf numFmtId="3" fontId="28" fillId="13" borderId="6" applyAlignment="1" pivotButton="0" quotePrefix="0" xfId="0">
      <alignment horizontal="right" vertical="center"/>
    </xf>
    <xf numFmtId="0" fontId="29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 wrapText="1"/>
    </xf>
    <xf numFmtId="0" fontId="27" fillId="13" borderId="6" applyAlignment="1" pivotButton="0" quotePrefix="0" xfId="0">
      <alignment horizontal="center" vertical="center"/>
    </xf>
    <xf numFmtId="3" fontId="27" fillId="13" borderId="6" applyAlignment="1" pivotButton="0" quotePrefix="0" xfId="0">
      <alignment horizontal="right" vertical="center"/>
    </xf>
    <xf numFmtId="166" fontId="27" fillId="13" borderId="6" applyAlignment="1" pivotButton="0" quotePrefix="0" xfId="0">
      <alignment horizontal="center" vertical="center"/>
    </xf>
    <xf numFmtId="0" fontId="30" fillId="13" borderId="6" applyAlignment="1" pivotButton="0" quotePrefix="0" xfId="0">
      <alignment horizontal="left" vertical="center"/>
    </xf>
    <xf numFmtId="164" fontId="27" fillId="13" borderId="6" applyAlignment="1" pivotButton="0" quotePrefix="0" xfId="0">
      <alignment horizontal="center" vertical="center"/>
    </xf>
    <xf numFmtId="1" fontId="27" fillId="13" borderId="6" applyAlignment="1" pivotButton="0" quotePrefix="0" xfId="0">
      <alignment horizontal="center" vertical="center"/>
    </xf>
    <xf numFmtId="166" fontId="28" fillId="13" borderId="6" applyAlignment="1" pivotButton="0" quotePrefix="0" xfId="0">
      <alignment horizontal="right" vertical="center"/>
    </xf>
    <xf numFmtId="1" fontId="28" fillId="13" borderId="6" applyAlignment="1" pivotButton="0" quotePrefix="0" xfId="0">
      <alignment horizontal="right" vertical="center"/>
    </xf>
    <xf numFmtId="0" fontId="18" fillId="26" borderId="7" applyAlignment="1" pivotButton="0" quotePrefix="0" xfId="0">
      <alignment horizontal="center" vertical="center"/>
    </xf>
    <xf numFmtId="3" fontId="18" fillId="26" borderId="6" applyAlignment="1" pivotButton="0" quotePrefix="0" xfId="0">
      <alignment horizontal="right" vertical="center"/>
    </xf>
    <xf numFmtId="166" fontId="18" fillId="26" borderId="6" applyAlignment="1" pivotButton="0" quotePrefix="0" xfId="0">
      <alignment horizontal="center" vertical="center"/>
    </xf>
    <xf numFmtId="0" fontId="0" fillId="26" borderId="6" applyAlignment="1" pivotButton="0" quotePrefix="0" xfId="0">
      <alignment horizontal="general" vertical="bottom"/>
    </xf>
    <xf numFmtId="164" fontId="18" fillId="26" borderId="6" applyAlignment="1" pivotButton="0" quotePrefix="0" xfId="0">
      <alignment horizontal="right" vertical="center"/>
    </xf>
    <xf numFmtId="1" fontId="18" fillId="26" borderId="6" applyAlignment="1" pivotButton="0" quotePrefix="0" xfId="0">
      <alignment horizontal="right" vertical="center"/>
    </xf>
    <xf numFmtId="0" fontId="31" fillId="27" borderId="7" applyAlignment="1" pivotButton="0" quotePrefix="0" xfId="0">
      <alignment horizontal="center" vertical="center"/>
    </xf>
    <xf numFmtId="167" fontId="32" fillId="27" borderId="8" applyAlignment="1" pivotButton="0" quotePrefix="0" xfId="0">
      <alignment horizontal="center" vertical="center"/>
    </xf>
    <xf numFmtId="0" fontId="33" fillId="25" borderId="6" applyAlignment="1" pivotButton="0" quotePrefix="0" xfId="0">
      <alignment horizontal="left" vertical="center" wrapText="1"/>
    </xf>
    <xf numFmtId="0" fontId="33" fillId="13" borderId="6" applyAlignment="1" pivotButton="0" quotePrefix="0" xfId="0">
      <alignment horizontal="left" vertical="center" wrapText="1"/>
    </xf>
    <xf numFmtId="0" fontId="34" fillId="28" borderId="0" applyAlignment="1" pivotButton="0" quotePrefix="0" xfId="0">
      <alignment horizontal="center" vertical="center"/>
    </xf>
    <xf numFmtId="0" fontId="35" fillId="29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/>
    </xf>
    <xf numFmtId="0" fontId="36" fillId="30" borderId="4" applyAlignment="1" pivotButton="0" quotePrefix="0" xfId="0">
      <alignment horizontal="center" vertical="center" wrapText="1"/>
    </xf>
    <xf numFmtId="0" fontId="37" fillId="31" borderId="4" applyAlignment="1" pivotButton="0" quotePrefix="0" xfId="0">
      <alignment horizontal="center" vertical="center"/>
    </xf>
    <xf numFmtId="0" fontId="37" fillId="31" borderId="4" applyAlignment="1" pivotButton="0" quotePrefix="0" xfId="0">
      <alignment horizontal="left" vertical="center" wrapText="1"/>
    </xf>
    <xf numFmtId="0" fontId="37" fillId="12" borderId="4" applyAlignment="1" pivotButton="0" quotePrefix="0" xfId="0">
      <alignment horizontal="left" vertical="center" wrapText="1"/>
    </xf>
    <xf numFmtId="167" fontId="16" fillId="11" borderId="4" applyAlignment="1" pivotButton="0" quotePrefix="0" xfId="0">
      <alignment horizontal="center" vertical="center"/>
    </xf>
    <xf numFmtId="0" fontId="15" fillId="32" borderId="4" applyAlignment="1" pivotButton="0" quotePrefix="0" xfId="0">
      <alignment horizontal="center" vertical="center"/>
    </xf>
    <xf numFmtId="3" fontId="27" fillId="30" borderId="4" applyAlignment="1" pivotButton="0" quotePrefix="0" xfId="0">
      <alignment horizontal="right" vertical="center"/>
    </xf>
    <xf numFmtId="166" fontId="27" fillId="30" borderId="4" applyAlignment="1" pivotButton="0" quotePrefix="0" xfId="0">
      <alignment horizontal="center" vertical="center"/>
    </xf>
    <xf numFmtId="0" fontId="37" fillId="13" borderId="4" applyAlignment="1" pivotButton="0" quotePrefix="0" xfId="0">
      <alignment horizontal="center" vertical="center"/>
    </xf>
    <xf numFmtId="0" fontId="37" fillId="13" borderId="4" applyAlignment="1" pivotButton="0" quotePrefix="0" xfId="0">
      <alignment horizontal="left" vertical="center" wrapText="1"/>
    </xf>
    <xf numFmtId="0" fontId="11" fillId="33" borderId="0" applyAlignment="1" pivotButton="0" quotePrefix="0" xfId="0">
      <alignment horizontal="left" vertical="center"/>
    </xf>
    <xf numFmtId="0" fontId="38" fillId="30" borderId="4" applyAlignment="1" pivotButton="0" quotePrefix="0" xfId="0">
      <alignment horizontal="left" vertical="center"/>
    </xf>
    <xf numFmtId="0" fontId="39" fillId="34" borderId="4" applyAlignment="1" pivotButton="0" quotePrefix="0" xfId="0">
      <alignment horizontal="center" vertical="center"/>
    </xf>
    <xf numFmtId="166" fontId="39" fillId="34" borderId="4" applyAlignment="1" pivotButton="0" quotePrefix="0" xfId="0">
      <alignment horizontal="center" vertical="center"/>
    </xf>
    <xf numFmtId="0" fontId="38" fillId="0" borderId="0" applyAlignment="1" pivotButton="0" quotePrefix="0" xfId="0">
      <alignment horizontal="general" vertical="bottom"/>
    </xf>
    <xf numFmtId="0" fontId="38" fillId="32" borderId="4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8" fillId="35" borderId="4" applyAlignment="1" pivotButton="0" quotePrefix="0" xfId="0">
      <alignment horizontal="center" vertical="center"/>
    </xf>
    <xf numFmtId="0" fontId="38" fillId="34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right" vertical="center" wrapText="1"/>
    </xf>
    <xf numFmtId="0" fontId="7" fillId="4" borderId="3" applyAlignment="1" pivotButton="0" quotePrefix="0" xfId="0">
      <alignment horizontal="center" vertical="center" wrapText="1"/>
    </xf>
    <xf numFmtId="49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center" vertical="center" wrapText="1"/>
    </xf>
    <xf numFmtId="3" fontId="14" fillId="9" borderId="2" applyAlignment="1" pivotButton="0" quotePrefix="0" xfId="0">
      <alignment horizontal="right" vertical="center" wrapText="1"/>
    </xf>
    <xf numFmtId="3" fontId="14" fillId="10" borderId="3" applyAlignment="1" pivotButton="0" quotePrefix="0" xfId="0">
      <alignment horizontal="right" vertical="center" wrapText="1"/>
    </xf>
    <xf numFmtId="164" fontId="14" fillId="10" borderId="3" applyAlignment="1" pivotButton="0" quotePrefix="0" xfId="0">
      <alignment horizontal="right" vertical="center" wrapText="1"/>
    </xf>
    <xf numFmtId="3" fontId="13" fillId="8" borderId="2" applyAlignment="1" pivotButton="0" quotePrefix="0" xfId="0">
      <alignment horizontal="right" vertical="center" wrapText="1"/>
    </xf>
    <xf numFmtId="164" fontId="13" fillId="8" borderId="2" applyAlignment="1" pivotButton="0" quotePrefix="0" xfId="0">
      <alignment horizontal="right" vertical="center" wrapText="1"/>
    </xf>
    <xf numFmtId="0" fontId="15" fillId="11" borderId="4" applyAlignment="1" pivotButton="0" quotePrefix="0" xfId="0">
      <alignment horizontal="center" vertical="center"/>
    </xf>
    <xf numFmtId="0" fontId="16" fillId="12" borderId="4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center" vertical="center" wrapText="1"/>
    </xf>
    <xf numFmtId="3" fontId="13" fillId="13" borderId="2" applyAlignment="1" pivotButton="0" quotePrefix="0" xfId="0">
      <alignment horizontal="right" vertical="center" wrapText="1"/>
    </xf>
    <xf numFmtId="164" fontId="13" fillId="13" borderId="2" applyAlignment="1" pivotButton="0" quotePrefix="0" xfId="0">
      <alignment horizontal="right" vertical="center" wrapText="1"/>
    </xf>
    <xf numFmtId="0" fontId="0" fillId="13" borderId="4" applyAlignment="1" pivotButton="0" quotePrefix="0" xfId="0">
      <alignment horizontal="general" vertical="bottom"/>
    </xf>
    <xf numFmtId="0" fontId="16" fillId="13" borderId="4" applyAlignment="1" pivotButton="0" quotePrefix="0" xfId="0">
      <alignment horizontal="left" vertical="center" wrapText="1"/>
    </xf>
    <xf numFmtId="0" fontId="17" fillId="14" borderId="5" applyAlignment="1" pivotButton="0" quotePrefix="0" xfId="0">
      <alignment horizontal="center" vertical="center" wrapText="1"/>
    </xf>
    <xf numFmtId="0" fontId="0" fillId="0" borderId="12" pivotButton="0" quotePrefix="0" xfId="0"/>
    <xf numFmtId="3" fontId="18" fillId="14" borderId="3" applyAlignment="1" pivotButton="0" quotePrefix="0" xfId="0">
      <alignment horizontal="right" vertical="center" wrapText="1"/>
    </xf>
    <xf numFmtId="0" fontId="0" fillId="14" borderId="3" applyAlignment="1" pivotButton="0" quotePrefix="0" xfId="0">
      <alignment horizontal="general" vertical="bottom"/>
    </xf>
    <xf numFmtId="164" fontId="18" fillId="14" borderId="3" applyAlignment="1" pivotButton="0" quotePrefix="0" xfId="0">
      <alignment horizontal="right" vertical="center" wrapText="1"/>
    </xf>
    <xf numFmtId="0" fontId="19" fillId="1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 wrapText="1"/>
    </xf>
    <xf numFmtId="0" fontId="12" fillId="17" borderId="4" applyAlignment="1" pivotButton="0" quotePrefix="0" xfId="0">
      <alignment horizontal="center" vertical="center" wrapText="1"/>
    </xf>
    <xf numFmtId="165" fontId="14" fillId="9" borderId="2" applyAlignment="1" pivotButton="0" quotePrefix="0" xfId="0">
      <alignment horizontal="center" vertical="center" wrapText="1"/>
    </xf>
    <xf numFmtId="0" fontId="20" fillId="8" borderId="2" applyAlignment="1" pivotButton="0" quotePrefix="0" xfId="0">
      <alignment horizontal="center" vertical="center" wrapText="1"/>
    </xf>
    <xf numFmtId="0" fontId="16" fillId="18" borderId="4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3" fontId="20" fillId="8" borderId="2" applyAlignment="1" pivotButton="0" quotePrefix="0" xfId="0">
      <alignment horizontal="right" vertical="center" wrapText="1"/>
    </xf>
    <xf numFmtId="166" fontId="13" fillId="8" borderId="2" applyAlignment="1" pivotButton="0" quotePrefix="0" xfId="0">
      <alignment horizontal="center" vertical="center" wrapText="1"/>
    </xf>
    <xf numFmtId="0" fontId="23" fillId="8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3" fontId="20" fillId="13" borderId="2" applyAlignment="1" pivotButton="0" quotePrefix="0" xfId="0">
      <alignment horizontal="right" vertical="center" wrapText="1"/>
    </xf>
    <xf numFmtId="166" fontId="13" fillId="13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0" fontId="18" fillId="14" borderId="5" applyAlignment="1" pivotButton="0" quotePrefix="0" xfId="0">
      <alignment horizontal="center" vertical="center" wrapText="1"/>
    </xf>
    <xf numFmtId="166" fontId="18" fillId="14" borderId="3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left" vertical="center" wrapText="1"/>
    </xf>
    <xf numFmtId="0" fontId="11" fillId="20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left" vertical="center" wrapText="1"/>
    </xf>
    <xf numFmtId="0" fontId="24" fillId="13" borderId="2" applyAlignment="1" pivotButton="0" quotePrefix="0" xfId="0">
      <alignment horizontal="left" vertical="center" wrapText="1"/>
    </xf>
    <xf numFmtId="165" fontId="20" fillId="13" borderId="2" applyAlignment="1" pivotButton="0" quotePrefix="0" xfId="0">
      <alignment horizontal="center" vertical="center" wrapText="1"/>
    </xf>
    <xf numFmtId="165" fontId="20" fillId="8" borderId="2" applyAlignment="1" pivotButton="0" quotePrefix="0" xfId="0">
      <alignment horizontal="center" vertical="center" wrapText="1"/>
    </xf>
    <xf numFmtId="164" fontId="20" fillId="13" borderId="2" applyAlignment="1" pivotButton="0" quotePrefix="0" xfId="0">
      <alignment horizontal="right" vertical="center" wrapText="1"/>
    </xf>
    <xf numFmtId="1" fontId="13" fillId="13" borderId="2" applyAlignment="1" pivotButton="0" quotePrefix="0" xfId="0">
      <alignment horizontal="right" vertical="center" wrapText="1"/>
    </xf>
    <xf numFmtId="164" fontId="20" fillId="8" borderId="2" applyAlignment="1" pivotButton="0" quotePrefix="0" xfId="0">
      <alignment horizontal="right" vertical="center" wrapText="1"/>
    </xf>
    <xf numFmtId="1" fontId="13" fillId="8" borderId="2" applyAlignment="1" pivotButton="0" quotePrefix="0" xfId="0">
      <alignment horizontal="right" vertical="center" wrapText="1"/>
    </xf>
    <xf numFmtId="1" fontId="18" fillId="14" borderId="3" applyAlignment="1" pivotButton="0" quotePrefix="0" xfId="0">
      <alignment horizontal="right" vertical="center" wrapText="1"/>
    </xf>
    <xf numFmtId="0" fontId="4" fillId="21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0" fontId="25" fillId="22" borderId="0" applyAlignment="1" pivotButton="0" quotePrefix="0" xfId="0">
      <alignment horizontal="left" vertical="center" wrapText="1"/>
    </xf>
    <xf numFmtId="0" fontId="26" fillId="23" borderId="0" applyAlignment="1" pivotButton="0" quotePrefix="0" xfId="0">
      <alignment horizontal="center" vertical="center"/>
    </xf>
    <xf numFmtId="0" fontId="11" fillId="23" borderId="0" applyAlignment="1" pivotButton="0" quotePrefix="0" xfId="0">
      <alignment horizontal="center" vertical="center"/>
    </xf>
    <xf numFmtId="0" fontId="12" fillId="24" borderId="6" applyAlignment="1" pivotButton="0" quotePrefix="0" xfId="0">
      <alignment horizontal="center" vertical="center" wrapText="1"/>
    </xf>
    <xf numFmtId="0" fontId="27" fillId="25" borderId="6" applyAlignment="1" pivotButton="0" quotePrefix="0" xfId="0">
      <alignment horizontal="left" vertical="center"/>
    </xf>
    <xf numFmtId="49" fontId="28" fillId="13" borderId="6" applyAlignment="1" pivotButton="0" quotePrefix="0" xfId="0">
      <alignment horizontal="right" vertical="center"/>
    </xf>
    <xf numFmtId="0" fontId="29" fillId="25" borderId="6" applyAlignment="1" pivotButton="0" quotePrefix="0" xfId="0">
      <alignment horizontal="center" vertical="center"/>
    </xf>
    <xf numFmtId="0" fontId="27" fillId="25" borderId="6" applyAlignment="1" pivotButton="0" quotePrefix="0" xfId="0">
      <alignment horizontal="left" vertical="center" wrapText="1"/>
    </xf>
    <xf numFmtId="0" fontId="27" fillId="25" borderId="6" applyAlignment="1" pivotButton="0" quotePrefix="0" xfId="0">
      <alignment horizontal="center" vertical="center"/>
    </xf>
    <xf numFmtId="3" fontId="27" fillId="25" borderId="6" applyAlignment="1" pivotButton="0" quotePrefix="0" xfId="0">
      <alignment horizontal="right" vertical="center"/>
    </xf>
    <xf numFmtId="166" fontId="27" fillId="25" borderId="6" applyAlignment="1" pivotButton="0" quotePrefix="0" xfId="0">
      <alignment horizontal="center" vertical="center"/>
    </xf>
    <xf numFmtId="0" fontId="30" fillId="25" borderId="6" applyAlignment="1" pivotButton="0" quotePrefix="0" xfId="0">
      <alignment horizontal="left" vertical="center"/>
    </xf>
    <xf numFmtId="164" fontId="27" fillId="25" borderId="6" applyAlignment="1" pivotButton="0" quotePrefix="0" xfId="0">
      <alignment horizontal="center" vertical="center"/>
    </xf>
    <xf numFmtId="1" fontId="27" fillId="25" borderId="6" applyAlignment="1" pivotButton="0" quotePrefix="0" xfId="0">
      <alignment horizontal="center" vertical="center"/>
    </xf>
    <xf numFmtId="3" fontId="28" fillId="13" borderId="6" applyAlignment="1" pivotButton="0" quotePrefix="0" xfId="0">
      <alignment horizontal="right" vertical="center"/>
    </xf>
    <xf numFmtId="0" fontId="29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 wrapText="1"/>
    </xf>
    <xf numFmtId="0" fontId="27" fillId="13" borderId="6" applyAlignment="1" pivotButton="0" quotePrefix="0" xfId="0">
      <alignment horizontal="center" vertical="center"/>
    </xf>
    <xf numFmtId="3" fontId="27" fillId="13" borderId="6" applyAlignment="1" pivotButton="0" quotePrefix="0" xfId="0">
      <alignment horizontal="right" vertical="center"/>
    </xf>
    <xf numFmtId="166" fontId="27" fillId="13" borderId="6" applyAlignment="1" pivotButton="0" quotePrefix="0" xfId="0">
      <alignment horizontal="center" vertical="center"/>
    </xf>
    <xf numFmtId="0" fontId="30" fillId="13" borderId="6" applyAlignment="1" pivotButton="0" quotePrefix="0" xfId="0">
      <alignment horizontal="left" vertical="center"/>
    </xf>
    <xf numFmtId="164" fontId="27" fillId="13" borderId="6" applyAlignment="1" pivotButton="0" quotePrefix="0" xfId="0">
      <alignment horizontal="center" vertical="center"/>
    </xf>
    <xf numFmtId="1" fontId="27" fillId="13" borderId="6" applyAlignment="1" pivotButton="0" quotePrefix="0" xfId="0">
      <alignment horizontal="center" vertical="center"/>
    </xf>
    <xf numFmtId="166" fontId="28" fillId="13" borderId="6" applyAlignment="1" pivotButton="0" quotePrefix="0" xfId="0">
      <alignment horizontal="right" vertical="center"/>
    </xf>
    <xf numFmtId="1" fontId="28" fillId="13" borderId="6" applyAlignment="1" pivotButton="0" quotePrefix="0" xfId="0">
      <alignment horizontal="right" vertical="center"/>
    </xf>
    <xf numFmtId="0" fontId="18" fillId="26" borderId="7" applyAlignment="1" pivotButton="0" quotePrefix="0" xfId="0">
      <alignment horizontal="center" vertical="center"/>
    </xf>
    <xf numFmtId="0" fontId="0" fillId="0" borderId="14" pivotButton="0" quotePrefix="0" xfId="0"/>
    <xf numFmtId="3" fontId="18" fillId="26" borderId="6" applyAlignment="1" pivotButton="0" quotePrefix="0" xfId="0">
      <alignment horizontal="right" vertical="center"/>
    </xf>
    <xf numFmtId="166" fontId="18" fillId="26" borderId="6" applyAlignment="1" pivotButton="0" quotePrefix="0" xfId="0">
      <alignment horizontal="center" vertical="center"/>
    </xf>
    <xf numFmtId="0" fontId="0" fillId="26" borderId="6" applyAlignment="1" pivotButton="0" quotePrefix="0" xfId="0">
      <alignment horizontal="general" vertical="bottom"/>
    </xf>
    <xf numFmtId="164" fontId="18" fillId="26" borderId="6" applyAlignment="1" pivotButton="0" quotePrefix="0" xfId="0">
      <alignment horizontal="right" vertical="center"/>
    </xf>
    <xf numFmtId="1" fontId="18" fillId="26" borderId="6" applyAlignment="1" pivotButton="0" quotePrefix="0" xfId="0">
      <alignment horizontal="right" vertical="center"/>
    </xf>
    <xf numFmtId="0" fontId="31" fillId="27" borderId="7" applyAlignment="1" pivotButton="0" quotePrefix="0" xfId="0">
      <alignment horizontal="center" vertical="center"/>
    </xf>
    <xf numFmtId="167" fontId="32" fillId="27" borderId="8" applyAlignment="1" pivotButton="0" quotePrefix="0" xfId="0">
      <alignment horizontal="center" vertical="center"/>
    </xf>
    <xf numFmtId="0" fontId="0" fillId="0" borderId="17" pivotButton="0" quotePrefix="0" xfId="0"/>
    <xf numFmtId="0" fontId="33" fillId="25" borderId="6" applyAlignment="1" pivotButton="0" quotePrefix="0" xfId="0">
      <alignment horizontal="left" vertical="center" wrapText="1"/>
    </xf>
    <xf numFmtId="0" fontId="33" fillId="13" borderId="6" applyAlignment="1" pivotButton="0" quotePrefix="0" xfId="0">
      <alignment horizontal="left" vertical="center" wrapText="1"/>
    </xf>
    <xf numFmtId="0" fontId="34" fillId="28" borderId="0" applyAlignment="1" pivotButton="0" quotePrefix="0" xfId="0">
      <alignment horizontal="center" vertical="center"/>
    </xf>
    <xf numFmtId="0" fontId="35" fillId="29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/>
    </xf>
    <xf numFmtId="0" fontId="36" fillId="30" borderId="4" applyAlignment="1" pivotButton="0" quotePrefix="0" xfId="0">
      <alignment horizontal="center" vertical="center" wrapText="1"/>
    </xf>
    <xf numFmtId="0" fontId="37" fillId="31" borderId="4" applyAlignment="1" pivotButton="0" quotePrefix="0" xfId="0">
      <alignment horizontal="center" vertical="center"/>
    </xf>
    <xf numFmtId="0" fontId="37" fillId="31" borderId="4" applyAlignment="1" pivotButton="0" quotePrefix="0" xfId="0">
      <alignment horizontal="left" vertical="center" wrapText="1"/>
    </xf>
    <xf numFmtId="0" fontId="37" fillId="12" borderId="4" applyAlignment="1" pivotButton="0" quotePrefix="0" xfId="0">
      <alignment horizontal="left" vertical="center" wrapText="1"/>
    </xf>
    <xf numFmtId="167" fontId="16" fillId="11" borderId="4" applyAlignment="1" pivotButton="0" quotePrefix="0" xfId="0">
      <alignment horizontal="center" vertical="center"/>
    </xf>
    <xf numFmtId="0" fontId="15" fillId="32" borderId="4" applyAlignment="1" pivotButton="0" quotePrefix="0" xfId="0">
      <alignment horizontal="center" vertical="center"/>
    </xf>
    <xf numFmtId="3" fontId="27" fillId="30" borderId="4" applyAlignment="1" pivotButton="0" quotePrefix="0" xfId="0">
      <alignment horizontal="right" vertical="center"/>
    </xf>
    <xf numFmtId="166" fontId="27" fillId="30" borderId="4" applyAlignment="1" pivotButton="0" quotePrefix="0" xfId="0">
      <alignment horizontal="center" vertical="center"/>
    </xf>
    <xf numFmtId="0" fontId="37" fillId="13" borderId="4" applyAlignment="1" pivotButton="0" quotePrefix="0" xfId="0">
      <alignment horizontal="center" vertical="center"/>
    </xf>
    <xf numFmtId="0" fontId="37" fillId="13" borderId="4" applyAlignment="1" pivotButton="0" quotePrefix="0" xfId="0">
      <alignment horizontal="left" vertical="center" wrapText="1"/>
    </xf>
    <xf numFmtId="0" fontId="11" fillId="33" borderId="0" applyAlignment="1" pivotButton="0" quotePrefix="0" xfId="0">
      <alignment horizontal="left" vertical="center"/>
    </xf>
    <xf numFmtId="0" fontId="38" fillId="30" borderId="4" applyAlignment="1" pivotButton="0" quotePrefix="0" xfId="0">
      <alignment horizontal="left" vertical="center"/>
    </xf>
    <xf numFmtId="0" fontId="39" fillId="34" borderId="4" applyAlignment="1" pivotButton="0" quotePrefix="0" xfId="0">
      <alignment horizontal="center" vertical="center"/>
    </xf>
    <xf numFmtId="166" fontId="39" fillId="34" borderId="4" applyAlignment="1" pivotButton="0" quotePrefix="0" xfId="0">
      <alignment horizontal="center" vertical="center"/>
    </xf>
    <xf numFmtId="0" fontId="38" fillId="0" borderId="0" applyAlignment="1" pivotButton="0" quotePrefix="0" xfId="0">
      <alignment horizontal="general" vertical="bottom"/>
    </xf>
    <xf numFmtId="0" fontId="38" fillId="32" borderId="4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8" fillId="35" borderId="4" applyAlignment="1" pivotButton="0" quotePrefix="0" xfId="0">
      <alignment horizontal="center" vertical="center"/>
    </xf>
    <xf numFmtId="0" fontId="38" fillId="34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FDE7"/>
      <rgbColor rgb="FFF5F5F5"/>
      <rgbColor rgb="FF0000FF"/>
      <rgbColor rgb="FFFFF3E3"/>
      <rgbColor rgb="FFF7FAFE"/>
      <rgbColor rgb="FFEEF4FA"/>
      <rgbColor rgb="FF800000"/>
      <rgbColor rgb="FF006400"/>
      <rgbColor rgb="FF0D1F35"/>
      <rgbColor rgb="FF2E6DA4"/>
      <rgbColor rgb="FF800080"/>
      <rgbColor rgb="FF0D7A5F"/>
      <rgbColor rgb="FFB0C4DE"/>
      <rgbColor rgb="FF888888"/>
      <rgbColor rgb="FFE6EDF7"/>
      <rgbColor rgb="FF7B2D8B"/>
      <rgbColor rgb="FFFFF9C4"/>
      <rgbColor rgb="FFE3FAF0"/>
      <rgbColor rgb="FF660066"/>
      <rgbColor rgb="FFFFF0F0"/>
      <rgbColor rgb="FF0070C0"/>
      <rgbColor rgb="FFD5E3F0"/>
      <rgbColor rgb="FF000080"/>
      <rgbColor rgb="FFFAFCFF"/>
      <rgbColor rgb="FFFFF9E6"/>
      <rgbColor rgb="FFF0F4F8"/>
      <rgbColor rgb="FF800080"/>
      <rgbColor rgb="FF800000"/>
      <rgbColor rgb="FF1A6B3C"/>
      <rgbColor rgb="FF0000CC"/>
      <rgbColor rgb="FF0099CC"/>
      <rgbColor rgb="FFD6F0EC"/>
      <rgbColor rgb="FFE8F5E9"/>
      <rgbColor rgb="FFFFFAE3"/>
      <rgbColor rgb="FFD6E4F0"/>
      <rgbColor rgb="FFF3E3FA"/>
      <rgbColor rgb="FFD6EAF8"/>
      <rgbColor rgb="FFFFEBEB"/>
      <rgbColor rgb="FF1E6FD9"/>
      <rgbColor rgb="FFEBF3FB"/>
      <rgbColor rgb="FFE3F2FF"/>
      <rgbColor rgb="FFFFB547"/>
      <rgbColor rgb="FFC8960C"/>
      <rgbColor rgb="FFC0622A"/>
      <rgbColor rgb="FF777777"/>
      <rgbColor rgb="FF6B87A3"/>
      <rgbColor rgb="FF1B3A5C"/>
      <rgbColor rgb="FF0BBF70"/>
      <rgbColor rgb="FF0D2137"/>
      <rgbColor rgb="FF1A1A2E"/>
      <rgbColor rgb="FFF9F9F9"/>
      <rgbColor rgb="FF555555"/>
      <rgbColor rgb="FF1E3A5F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D1F35"/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121" min="1" max="1"/>
    <col width="5" customWidth="1" style="121" min="2" max="2"/>
    <col width="44" customWidth="1" style="121" min="3" max="3"/>
    <col width="10" customWidth="1" style="121" min="4" max="4"/>
    <col width="20" customWidth="1" style="121" min="5" max="5"/>
    <col width="16" customWidth="1" style="121" min="6" max="6"/>
    <col width="12" customWidth="1" style="121" min="7" max="7"/>
    <col width="22" customWidth="1" style="121" min="8" max="8"/>
    <col width="20" customWidth="1" style="121" min="9" max="9"/>
    <col width="22" customWidth="1" style="121" min="10" max="10"/>
    <col width="20" customWidth="1" style="121" min="11" max="11"/>
    <col width="16" customWidth="1" style="121" min="12" max="12"/>
    <col width="40" customWidth="1" style="121" min="13" max="13"/>
  </cols>
  <sheetData>
    <row r="1" ht="33.75" customHeight="1" s="122">
      <c r="A1" s="121" t="n"/>
      <c r="B1" s="123" t="inlineStr">
        <is>
          <t>DASHBOARD TARGET KEUANGAN — MASTER DATA &amp; PENGATURAN PERIODE</t>
        </is>
      </c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30" customHeight="1" s="122">
      <c r="A2" s="121" t="n"/>
      <c r="B2" s="125" t="inlineStr">
        <is>
          <t>⚙ PENGATURAN PERIODE</t>
        </is>
      </c>
      <c r="C2" s="126" t="inlineStr">
        <is>
          <t>Bulan (1-12):</t>
        </is>
      </c>
      <c r="D2" s="127" t="n">
        <v>4</v>
      </c>
      <c r="E2" s="126" t="inlineStr">
        <is>
          <t>Tahun:</t>
        </is>
      </c>
      <c r="F2" s="127" t="n">
        <v>2026</v>
      </c>
      <c r="G2" s="126" t="inlineStr">
        <is>
          <t>Periode Aktif:</t>
        </is>
      </c>
      <c r="H2" s="128">
        <f>UPPER(TEXT(DATE(F2,D2,1),"MMMM YYYY"))</f>
        <v/>
      </c>
      <c r="I2" s="129">
        <f>DAY(EOMONTH(DATE(F2,D2,1),0))</f>
        <v/>
      </c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15.75" customHeight="1" s="122">
      <c r="A3" s="121" t="n"/>
      <c r="B3" s="130" t="inlineStr">
        <is>
          <t>Ganti D2 (Bulan) &amp; F2 (Tahun) → semua sheet update otomatis  |  Biru = input  |  Hitam = formula  |  *Target Harian Manual: isi untuk override, kosongkan untuk auto (Bulanan÷Hari Kerja)  |  🟢 Kolom L: Pilih "Kuantitatif" atau "Kualitatif"  |  Kolom M: Isi deskripsi target jika Kualitatif</t>
        </is>
      </c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51.75" customHeight="1" s="122">
      <c r="A4" s="121" t="n"/>
      <c r="B4" s="131" t="inlineStr">
        <is>
          <t>No</t>
        </is>
      </c>
      <c r="C4" s="131" t="inlineStr">
        <is>
          <t>Program</t>
        </is>
      </c>
      <c r="D4" s="131" t="inlineStr">
        <is>
          <t>PIC</t>
        </is>
      </c>
      <c r="E4" s="131" t="inlineStr">
        <is>
          <t>Target Bulanan
(Rp)</t>
        </is>
      </c>
      <c r="F4" s="131" t="inlineStr">
        <is>
          <t>Target Bulanan
(User)</t>
        </is>
      </c>
      <c r="G4" s="131" t="inlineStr">
        <is>
          <t>Hari Kerja*</t>
        </is>
      </c>
      <c r="H4" s="131" t="inlineStr">
        <is>
          <t>Target Harian
Manual (Rp)
[opsional]</t>
        </is>
      </c>
      <c r="I4" s="131" t="inlineStr">
        <is>
          <t>Target Harian
Manual (User)
[opsional]</t>
        </is>
      </c>
      <c r="J4" s="131" t="inlineStr">
        <is>
          <t>Target Harian
Efektif (Rp)</t>
        </is>
      </c>
      <c r="K4" s="131" t="inlineStr">
        <is>
          <t>Target Harian
Efektif (User)</t>
        </is>
      </c>
      <c r="L4" s="132" t="inlineStr">
        <is>
          <t>Tipe Target
(Kuantitatif/
Kualitatif)</t>
        </is>
      </c>
      <c r="M4" s="132" t="inlineStr">
        <is>
          <t>Target Kualitatif
(Isi jika Tipe = Kualitatif)</t>
        </is>
      </c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21.75" customHeight="1" s="122">
      <c r="A5" s="121" t="n"/>
      <c r="B5" s="133" t="n">
        <v>1</v>
      </c>
      <c r="C5" s="134" t="inlineStr">
        <is>
          <t>Kelas Pelatihan &amp; Sertifikasi Asosiasi</t>
        </is>
      </c>
      <c r="D5" s="135" t="inlineStr">
        <is>
          <t>RHJ</t>
        </is>
      </c>
      <c r="E5" s="136" t="n">
        <v>150000000</v>
      </c>
      <c r="F5" s="136" t="n">
        <v>300</v>
      </c>
      <c r="G5" s="135">
        <f>$I$2</f>
        <v/>
      </c>
      <c r="H5" s="137" t="n"/>
      <c r="I5" s="138" t="n"/>
      <c r="J5" s="139">
        <f>IFERROR(IF(C5="","",IF(H5&lt;&gt;"",H5,E5/G5)),0)</f>
        <v/>
      </c>
      <c r="K5" s="140">
        <f>IFERROR(IF(C5="","",IF(I5&lt;&gt;"",I5,F5/G5)),0)</f>
        <v/>
      </c>
      <c r="L5" s="141" t="inlineStr">
        <is>
          <t>Kuantitatif</t>
        </is>
      </c>
      <c r="M5" s="142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21.75" customHeight="1" s="122">
      <c r="A6" s="121" t="n"/>
      <c r="B6" s="143" t="n">
        <v>2</v>
      </c>
      <c r="C6" s="134" t="inlineStr">
        <is>
          <t>Kelas Pelatihan &amp; Sertifikasi BNSP</t>
        </is>
      </c>
      <c r="D6" s="135" t="inlineStr">
        <is>
          <t>RHJ</t>
        </is>
      </c>
      <c r="E6" s="136" t="n">
        <v>100000000</v>
      </c>
      <c r="F6" s="136" t="n">
        <v>100</v>
      </c>
      <c r="G6" s="135">
        <f>$I$2</f>
        <v/>
      </c>
      <c r="H6" s="137" t="n"/>
      <c r="I6" s="138" t="n"/>
      <c r="J6" s="144">
        <f>IFERROR(IF(C6="","",IF(H6&lt;&gt;"",H6,E6/G6)),0)</f>
        <v/>
      </c>
      <c r="K6" s="145">
        <f>IFERROR(IF(C6="","",IF(I6&lt;&gt;"",I6,F6/G6)),0)</f>
        <v/>
      </c>
      <c r="L6" s="141" t="inlineStr">
        <is>
          <t>Kuantitatif</t>
        </is>
      </c>
      <c r="M6" s="142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21.75" customHeight="1" s="122">
      <c r="A7" s="121" t="n"/>
      <c r="B7" s="133" t="n">
        <v>3</v>
      </c>
      <c r="C7" s="134" t="inlineStr">
        <is>
          <t>Kelas Public Speaking Pedagogik</t>
        </is>
      </c>
      <c r="D7" s="135" t="inlineStr">
        <is>
          <t>ANDIS</t>
        </is>
      </c>
      <c r="E7" s="136" t="n">
        <v>50000000</v>
      </c>
      <c r="F7" s="136" t="n">
        <v>50</v>
      </c>
      <c r="G7" s="135">
        <f>$I$2</f>
        <v/>
      </c>
      <c r="H7" s="137" t="n"/>
      <c r="I7" s="138" t="n"/>
      <c r="J7" s="139">
        <f>IFERROR(IF(C7="","",IF(H7&lt;&gt;"",H7,E7/G7)),0)</f>
        <v/>
      </c>
      <c r="K7" s="140">
        <f>IFERROR(IF(C7="","",IF(I7&lt;&gt;"",I7,F7/G7)),0)</f>
        <v/>
      </c>
      <c r="L7" s="141" t="inlineStr">
        <is>
          <t>Kuantitatif</t>
        </is>
      </c>
      <c r="M7" s="142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21.75" customHeight="1" s="122">
      <c r="A8" s="121" t="n"/>
      <c r="B8" s="143" t="n">
        <v>4</v>
      </c>
      <c r="C8" s="134" t="inlineStr">
        <is>
          <t>Kelas Kerjasama Perguruan Tinggi (SKPI)</t>
        </is>
      </c>
      <c r="D8" s="135" t="inlineStr">
        <is>
          <t>PROF</t>
        </is>
      </c>
      <c r="E8" s="136" t="n">
        <v>50000000</v>
      </c>
      <c r="F8" s="136" t="n">
        <v>50</v>
      </c>
      <c r="G8" s="135">
        <f>$I$2</f>
        <v/>
      </c>
      <c r="H8" s="137" t="n"/>
      <c r="I8" s="138" t="n"/>
      <c r="J8" s="144">
        <f>IFERROR(IF(C8="","",IF(H8&lt;&gt;"",H8,E8/G8)),0)</f>
        <v/>
      </c>
      <c r="K8" s="145">
        <f>IFERROR(IF(C8="","",IF(I8&lt;&gt;"",I8,F8/G8)),0)</f>
        <v/>
      </c>
      <c r="L8" s="141" t="inlineStr">
        <is>
          <t>Kuantitatif</t>
        </is>
      </c>
      <c r="M8" s="142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21.75" customHeight="1" s="122">
      <c r="A9" s="121" t="n"/>
      <c r="B9" s="133" t="n">
        <v>5</v>
      </c>
      <c r="C9" s="134" t="inlineStr">
        <is>
          <t>Kelas Pelatihan &amp; Sertifikasi Asosiasi &amp; BNSP (Offline)</t>
        </is>
      </c>
      <c r="D9" s="135" t="inlineStr">
        <is>
          <t>ANGGAR</t>
        </is>
      </c>
      <c r="E9" s="136" t="n">
        <v>25000000</v>
      </c>
      <c r="F9" s="136" t="n">
        <v>25</v>
      </c>
      <c r="G9" s="135">
        <f>$I$2</f>
        <v/>
      </c>
      <c r="H9" s="137" t="n"/>
      <c r="I9" s="138" t="n"/>
      <c r="J9" s="139">
        <f>IFERROR(IF(C9="","",IF(H9&lt;&gt;"",H9,E9/G9)),0)</f>
        <v/>
      </c>
      <c r="K9" s="140">
        <f>IFERROR(IF(C9="","",IF(I9&lt;&gt;"",I9,F9/G9)),0)</f>
        <v/>
      </c>
      <c r="L9" s="141" t="inlineStr">
        <is>
          <t>Kuantitatif</t>
        </is>
      </c>
      <c r="M9" s="142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21.75" customHeight="1" s="122">
      <c r="A10" s="121" t="n"/>
      <c r="B10" s="143" t="n">
        <v>6</v>
      </c>
      <c r="C10" s="134" t="inlineStr">
        <is>
          <t>Kerjasama Dengan LPK / LK</t>
        </is>
      </c>
      <c r="D10" s="135" t="inlineStr">
        <is>
          <t>ANGGAR</t>
        </is>
      </c>
      <c r="E10" s="136" t="n">
        <v>25000000</v>
      </c>
      <c r="F10" s="136" t="n">
        <v>5</v>
      </c>
      <c r="G10" s="135">
        <f>$I$2</f>
        <v/>
      </c>
      <c r="H10" s="137" t="n"/>
      <c r="I10" s="138" t="n"/>
      <c r="J10" s="144">
        <f>IFERROR(IF(C10="","",IF(H10&lt;&gt;"",H10,E10/G10)),0)</f>
        <v/>
      </c>
      <c r="K10" s="145">
        <f>IFERROR(IF(C10="","",IF(I10&lt;&gt;"",I10,F10/G10)),0)</f>
        <v/>
      </c>
      <c r="L10" s="141" t="inlineStr">
        <is>
          <t>Kuantitatif</t>
        </is>
      </c>
      <c r="M10" s="142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21.75" customHeight="1" s="122">
      <c r="A11" s="121" t="n"/>
      <c r="B11" s="133" t="n">
        <v>7</v>
      </c>
      <c r="C11" s="134" t="inlineStr">
        <is>
          <t>Sertifikasi SMK</t>
        </is>
      </c>
      <c r="D11" s="135" t="inlineStr">
        <is>
          <t>EKO</t>
        </is>
      </c>
      <c r="E11" s="136" t="n">
        <v>50000000</v>
      </c>
      <c r="F11" s="136" t="n">
        <v>100</v>
      </c>
      <c r="G11" s="135">
        <f>$I$2</f>
        <v/>
      </c>
      <c r="H11" s="137" t="n"/>
      <c r="I11" s="138" t="n"/>
      <c r="J11" s="139">
        <f>IFERROR(IF(C11="","",IF(H11&lt;&gt;"",H11,E11/G11)),0)</f>
        <v/>
      </c>
      <c r="K11" s="140">
        <f>IFERROR(IF(C11="","",IF(I11&lt;&gt;"",I11,F11/G11)),0)</f>
        <v/>
      </c>
      <c r="L11" s="141" t="inlineStr">
        <is>
          <t>Kuantitatif</t>
        </is>
      </c>
      <c r="M11" s="142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21.75" customHeight="1" s="122">
      <c r="A12" s="121" t="n"/>
      <c r="B12" s="143" t="n">
        <v>8</v>
      </c>
      <c r="C12" s="134" t="inlineStr">
        <is>
          <t>TES PROJECT</t>
        </is>
      </c>
      <c r="D12" s="134" t="inlineStr">
        <is>
          <t>TES</t>
        </is>
      </c>
      <c r="E12" s="136" t="n">
        <v>10000000</v>
      </c>
      <c r="F12" s="136" t="n">
        <v>40</v>
      </c>
      <c r="G12" s="135">
        <f>$I$2</f>
        <v/>
      </c>
      <c r="H12" s="137" t="n"/>
      <c r="I12" s="138" t="n"/>
      <c r="J12" s="144">
        <f>IFERROR(IF(C12="","",IF(H12&lt;&gt;"",H12,E12/G12)),0)</f>
        <v/>
      </c>
      <c r="K12" s="145">
        <f>IFERROR(IF(C12="","",IF(I12&lt;&gt;"",I12,F12/G12)),0)</f>
        <v/>
      </c>
      <c r="L12" s="141" t="inlineStr">
        <is>
          <t>Kuantitatif</t>
        </is>
      </c>
      <c r="M12" s="142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21.75" customHeight="1" s="122">
      <c r="A13" s="121" t="n"/>
      <c r="B13" s="133" t="n">
        <v>9</v>
      </c>
      <c r="C13" s="134" t="n"/>
      <c r="D13" s="134" t="n"/>
      <c r="E13" s="136" t="n"/>
      <c r="F13" s="136" t="n"/>
      <c r="G13" s="135">
        <f>$I$2</f>
        <v/>
      </c>
      <c r="H13" s="137" t="n"/>
      <c r="I13" s="138" t="n"/>
      <c r="J13" s="139">
        <f>IFERROR(IF(C13="","",IF(H13&lt;&gt;"",H13,E13/G13)),0)</f>
        <v/>
      </c>
      <c r="K13" s="140">
        <f>IFERROR(IF(C13="","",IF(I13&lt;&gt;"",I13,F13/G13)),0)</f>
        <v/>
      </c>
      <c r="L13" s="146" t="n"/>
      <c r="M13" s="147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21.75" customHeight="1" s="122">
      <c r="A14" s="121" t="n"/>
      <c r="B14" s="143" t="n">
        <v>10</v>
      </c>
      <c r="C14" s="134" t="n"/>
      <c r="D14" s="134" t="n"/>
      <c r="E14" s="136" t="n"/>
      <c r="F14" s="136" t="n"/>
      <c r="G14" s="135">
        <f>$I$2</f>
        <v/>
      </c>
      <c r="H14" s="137" t="n"/>
      <c r="I14" s="138" t="n"/>
      <c r="J14" s="144">
        <f>IFERROR(IF(C14="","",IF(H14&lt;&gt;"",H14,E14/G14)),0)</f>
        <v/>
      </c>
      <c r="K14" s="145">
        <f>IFERROR(IF(C14="","",IF(I14&lt;&gt;"",I14,F14/G14)),0)</f>
        <v/>
      </c>
      <c r="L14" s="146" t="n"/>
      <c r="M14" s="147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21.75" customHeight="1" s="122">
      <c r="A15" s="121" t="n"/>
      <c r="B15" s="133" t="n">
        <v>11</v>
      </c>
      <c r="C15" s="134" t="n"/>
      <c r="D15" s="134" t="n"/>
      <c r="E15" s="136" t="n"/>
      <c r="F15" s="136" t="n"/>
      <c r="G15" s="135">
        <f>$I$2</f>
        <v/>
      </c>
      <c r="H15" s="137" t="n"/>
      <c r="I15" s="138" t="n"/>
      <c r="J15" s="139">
        <f>IFERROR(IF(C15="","",IF(H15&lt;&gt;"",H15,E15/G15)),0)</f>
        <v/>
      </c>
      <c r="K15" s="140">
        <f>IFERROR(IF(C15="","",IF(I15&lt;&gt;"",I15,F15/G15)),0)</f>
        <v/>
      </c>
      <c r="L15" s="146" t="n"/>
      <c r="M15" s="147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21.75" customHeight="1" s="122">
      <c r="A16" s="121" t="n"/>
      <c r="B16" s="143" t="n">
        <v>12</v>
      </c>
      <c r="C16" s="134" t="n"/>
      <c r="D16" s="134" t="n"/>
      <c r="E16" s="136" t="n"/>
      <c r="F16" s="136" t="n"/>
      <c r="G16" s="135">
        <f>$I$2</f>
        <v/>
      </c>
      <c r="H16" s="137" t="n"/>
      <c r="I16" s="138" t="n"/>
      <c r="J16" s="144">
        <f>IFERROR(IF(C16="","",IF(H16&lt;&gt;"",H16,E16/G16)),0)</f>
        <v/>
      </c>
      <c r="K16" s="145">
        <f>IFERROR(IF(C16="","",IF(I16&lt;&gt;"",I16,F16/G16)),0)</f>
        <v/>
      </c>
      <c r="L16" s="146" t="n"/>
      <c r="M16" s="147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21.75" customHeight="1" s="122">
      <c r="A17" s="121" t="n"/>
      <c r="B17" s="133" t="n">
        <v>13</v>
      </c>
      <c r="C17" s="134" t="n"/>
      <c r="D17" s="134" t="n"/>
      <c r="E17" s="136" t="n"/>
      <c r="F17" s="136" t="n"/>
      <c r="G17" s="135">
        <f>$I$2</f>
        <v/>
      </c>
      <c r="H17" s="137" t="n"/>
      <c r="I17" s="138" t="n"/>
      <c r="J17" s="139">
        <f>IFERROR(IF(C17="","",IF(H17&lt;&gt;"",H17,E17/G17)),0)</f>
        <v/>
      </c>
      <c r="K17" s="140">
        <f>IFERROR(IF(C17="","",IF(I17&lt;&gt;"",I17,F17/G17)),0)</f>
        <v/>
      </c>
      <c r="L17" s="146" t="n"/>
      <c r="M17" s="147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21.75" customHeight="1" s="122">
      <c r="A18" s="121" t="n"/>
      <c r="B18" s="143" t="n">
        <v>14</v>
      </c>
      <c r="C18" s="134" t="n"/>
      <c r="D18" s="134" t="n"/>
      <c r="E18" s="136" t="n"/>
      <c r="F18" s="136" t="n"/>
      <c r="G18" s="135">
        <f>$I$2</f>
        <v/>
      </c>
      <c r="H18" s="137" t="n"/>
      <c r="I18" s="138" t="n"/>
      <c r="J18" s="144">
        <f>IFERROR(IF(C18="","",IF(H18&lt;&gt;"",H18,E18/G18)),0)</f>
        <v/>
      </c>
      <c r="K18" s="145">
        <f>IFERROR(IF(C18="","",IF(I18&lt;&gt;"",I18,F18/G18)),0)</f>
        <v/>
      </c>
      <c r="L18" s="146" t="n"/>
      <c r="M18" s="147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21.75" customHeight="1" s="122">
      <c r="A19" s="121" t="n"/>
      <c r="B19" s="133" t="n">
        <v>15</v>
      </c>
      <c r="C19" s="134" t="n"/>
      <c r="D19" s="134" t="n"/>
      <c r="E19" s="136" t="n"/>
      <c r="F19" s="136" t="n"/>
      <c r="G19" s="135">
        <f>$I$2</f>
        <v/>
      </c>
      <c r="H19" s="137" t="n"/>
      <c r="I19" s="138" t="n"/>
      <c r="J19" s="139">
        <f>IFERROR(IF(C19="","",IF(H19&lt;&gt;"",H19,E19/G19)),0)</f>
        <v/>
      </c>
      <c r="K19" s="140">
        <f>IFERROR(IF(C19="","",IF(I19&lt;&gt;"",I19,F19/G19)),0)</f>
        <v/>
      </c>
      <c r="L19" s="146" t="n"/>
      <c r="M19" s="147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25.5" customHeight="1" s="122">
      <c r="A20" s="121" t="n"/>
      <c r="B20" s="148" t="inlineStr">
        <is>
          <t>TOTAL KESELURUHAN</t>
        </is>
      </c>
      <c r="C20" s="149" t="n"/>
      <c r="D20" s="149" t="n"/>
      <c r="E20" s="150">
        <f>SUM(E5:E19)</f>
        <v/>
      </c>
      <c r="F20" s="150">
        <f>SUM(F5:F19)</f>
        <v/>
      </c>
      <c r="G20" s="151" t="n"/>
      <c r="H20" s="151" t="n"/>
      <c r="I20" s="151" t="n"/>
      <c r="J20" s="150">
        <f>SUM(J5:J19)</f>
        <v/>
      </c>
      <c r="K20" s="152">
        <f>SUM(K5:K19)</f>
        <v/>
      </c>
      <c r="L20" s="121" t="n"/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18" customHeight="1" s="122">
      <c r="A21" s="121" t="n"/>
      <c r="B21" s="153" t="inlineStr">
        <is>
          <t>* Hari Kerja default = jumlah hari bulan aktif (auto). Kolom merah muda (Target Harian Manual): isi angka untuk override, kosongkan = auto dari Target Bulanan ÷ Hari Kerja.</t>
        </is>
      </c>
      <c r="C21" s="124" t="n"/>
      <c r="D21" s="124" t="n"/>
      <c r="E21" s="124" t="n"/>
      <c r="F21" s="124" t="n"/>
      <c r="G21" s="124" t="n"/>
      <c r="H21" s="124" t="n"/>
      <c r="I21" s="124" t="n"/>
      <c r="J21" s="124" t="n"/>
      <c r="K21" s="124" t="n"/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15.75" customHeight="1" s="122">
      <c r="A22" s="121" t="n"/>
      <c r="B22" s="121" t="n"/>
      <c r="C22" s="121" t="n"/>
      <c r="D22" s="121" t="n"/>
      <c r="E22" s="121" t="n"/>
      <c r="F22" s="121" t="n"/>
      <c r="G22" s="121" t="n"/>
      <c r="H22" s="121" t="n"/>
      <c r="I22" s="121" t="n"/>
      <c r="J22" s="121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15.75" customHeight="1" s="122">
      <c r="A23" s="121" t="n"/>
      <c r="B23" s="121" t="n"/>
      <c r="C23" s="121" t="n"/>
      <c r="D23" s="121" t="n"/>
      <c r="E23" s="121" t="n"/>
      <c r="F23" s="121" t="n"/>
      <c r="G23" s="121" t="n"/>
      <c r="H23" s="121" t="n"/>
      <c r="I23" s="121" t="n"/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15.75" customHeight="1" s="122">
      <c r="A24" s="121" t="n"/>
      <c r="B24" s="121" t="n"/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15.75" customHeight="1" s="122">
      <c r="A25" s="121" t="n"/>
      <c r="B25" s="121" t="n"/>
      <c r="C25" s="121" t="n"/>
      <c r="D25" s="121" t="n"/>
      <c r="E25" s="121" t="n"/>
      <c r="F25" s="121" t="n"/>
      <c r="G25" s="121" t="n"/>
      <c r="H25" s="121" t="n"/>
      <c r="I25" s="121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15.75" customHeight="1" s="122">
      <c r="A26" s="121" t="n"/>
      <c r="B26" s="121" t="n"/>
      <c r="C26" s="121" t="n"/>
      <c r="D26" s="121" t="n"/>
      <c r="E26" s="121" t="n"/>
      <c r="F26" s="121" t="n"/>
      <c r="G26" s="121" t="n"/>
      <c r="H26" s="121" t="n"/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15.75" customHeight="1" s="122">
      <c r="A27" s="121" t="n"/>
      <c r="B27" s="121" t="n"/>
      <c r="C27" s="121" t="n"/>
      <c r="D27" s="121" t="n"/>
      <c r="E27" s="121" t="n"/>
      <c r="F27" s="121" t="n"/>
      <c r="G27" s="121" t="n"/>
      <c r="H27" s="121" t="n"/>
      <c r="I27" s="121" t="n"/>
      <c r="J27" s="121" t="n"/>
      <c r="K27" s="121" t="n"/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15.75" customHeight="1" s="122">
      <c r="A28" s="121" t="n"/>
      <c r="B28" s="121" t="n"/>
      <c r="C28" s="121" t="n"/>
      <c r="D28" s="121" t="n"/>
      <c r="E28" s="121" t="n"/>
      <c r="F28" s="121" t="n"/>
      <c r="G28" s="121" t="n"/>
      <c r="H28" s="121" t="n"/>
      <c r="I28" s="121" t="n"/>
      <c r="J28" s="121" t="n"/>
      <c r="K28" s="121" t="n"/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15.75" customHeight="1" s="122">
      <c r="A29" s="121" t="n"/>
      <c r="B29" s="121" t="n"/>
      <c r="C29" s="121" t="n"/>
      <c r="D29" s="121" t="n"/>
      <c r="E29" s="121" t="n"/>
      <c r="F29" s="121" t="n"/>
      <c r="G29" s="121" t="n"/>
      <c r="H29" s="121" t="n"/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15.75" customHeight="1" s="122">
      <c r="A30" s="121" t="n"/>
      <c r="B30" s="121" t="n"/>
      <c r="C30" s="121" t="n"/>
      <c r="D30" s="121" t="n"/>
      <c r="E30" s="121" t="n"/>
      <c r="F30" s="121" t="n"/>
      <c r="G30" s="121" t="n"/>
      <c r="H30" s="121" t="n"/>
      <c r="I30" s="121" t="n"/>
      <c r="J30" s="121" t="n"/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15.75" customHeight="1" s="122">
      <c r="A31" s="121" t="n"/>
      <c r="B31" s="121" t="n"/>
      <c r="C31" s="121" t="n"/>
      <c r="D31" s="121" t="n"/>
      <c r="E31" s="121" t="n"/>
      <c r="F31" s="121" t="n"/>
      <c r="G31" s="121" t="n"/>
      <c r="H31" s="121" t="n"/>
      <c r="I31" s="121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15.75" customHeight="1" s="122">
      <c r="A32" s="121" t="n"/>
      <c r="B32" s="121" t="n"/>
      <c r="C32" s="121" t="n"/>
      <c r="D32" s="121" t="n"/>
      <c r="E32" s="121" t="n"/>
      <c r="F32" s="121" t="n"/>
      <c r="G32" s="121" t="n"/>
      <c r="H32" s="121" t="n"/>
      <c r="I32" s="121" t="n"/>
      <c r="J32" s="121" t="n"/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15.75" customHeight="1" s="122">
      <c r="A33" s="121" t="n"/>
      <c r="B33" s="121" t="n"/>
      <c r="C33" s="121" t="n"/>
      <c r="D33" s="121" t="n"/>
      <c r="E33" s="121" t="n"/>
      <c r="F33" s="121" t="n"/>
      <c r="G33" s="121" t="n"/>
      <c r="H33" s="121" t="n"/>
      <c r="I33" s="121" t="n"/>
      <c r="J33" s="121" t="n"/>
      <c r="K33" s="121" t="n"/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15.75" customHeight="1" s="122">
      <c r="A34" s="121" t="n"/>
      <c r="B34" s="121" t="n"/>
      <c r="C34" s="121" t="n"/>
      <c r="D34" s="121" t="n"/>
      <c r="E34" s="121" t="n"/>
      <c r="F34" s="121" t="n"/>
      <c r="G34" s="121" t="n"/>
      <c r="H34" s="121" t="n"/>
      <c r="I34" s="121" t="n"/>
      <c r="J34" s="121" t="n"/>
      <c r="K34" s="121" t="n"/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15.75" customHeight="1" s="122">
      <c r="A35" s="121" t="n"/>
      <c r="B35" s="121" t="n"/>
      <c r="C35" s="121" t="n"/>
      <c r="D35" s="121" t="n"/>
      <c r="E35" s="121" t="n"/>
      <c r="F35" s="121" t="n"/>
      <c r="G35" s="121" t="n"/>
      <c r="H35" s="121" t="n"/>
      <c r="I35" s="121" t="n"/>
      <c r="J35" s="121" t="n"/>
      <c r="K35" s="121" t="n"/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15.75" customHeight="1" s="122">
      <c r="A36" s="121" t="n"/>
      <c r="B36" s="121" t="n"/>
      <c r="C36" s="121" t="n"/>
      <c r="D36" s="121" t="n"/>
      <c r="E36" s="121" t="n"/>
      <c r="F36" s="121" t="n"/>
      <c r="G36" s="121" t="n"/>
      <c r="H36" s="121" t="n"/>
      <c r="I36" s="121" t="n"/>
      <c r="J36" s="121" t="n"/>
      <c r="K36" s="121" t="n"/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15.75" customHeight="1" s="122">
      <c r="A37" s="121" t="n"/>
      <c r="B37" s="121" t="n"/>
      <c r="C37" s="121" t="n"/>
      <c r="D37" s="121" t="n"/>
      <c r="E37" s="121" t="n"/>
      <c r="F37" s="121" t="n"/>
      <c r="G37" s="121" t="n"/>
      <c r="H37" s="121" t="n"/>
      <c r="I37" s="121" t="n"/>
      <c r="J37" s="121" t="n"/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15.75" customHeight="1" s="122">
      <c r="A38" s="121" t="n"/>
      <c r="B38" s="121" t="n"/>
      <c r="C38" s="121" t="n"/>
      <c r="D38" s="121" t="n"/>
      <c r="E38" s="121" t="n"/>
      <c r="F38" s="121" t="n"/>
      <c r="G38" s="121" t="n"/>
      <c r="H38" s="121" t="n"/>
      <c r="I38" s="121" t="n"/>
      <c r="J38" s="121" t="n"/>
      <c r="K38" s="121" t="n"/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15.75" customHeight="1" s="122">
      <c r="A39" s="121" t="n"/>
      <c r="B39" s="121" t="n"/>
      <c r="C39" s="121" t="n"/>
      <c r="D39" s="121" t="n"/>
      <c r="E39" s="121" t="n"/>
      <c r="F39" s="121" t="n"/>
      <c r="G39" s="121" t="n"/>
      <c r="H39" s="121" t="n"/>
      <c r="I39" s="121" t="n"/>
      <c r="J39" s="12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5.75" customHeight="1" s="122">
      <c r="A40" s="121" t="n"/>
      <c r="B40" s="121" t="n"/>
      <c r="C40" s="121" t="n"/>
      <c r="D40" s="121" t="n"/>
      <c r="E40" s="121" t="n"/>
      <c r="F40" s="121" t="n"/>
      <c r="G40" s="121" t="n"/>
      <c r="H40" s="121" t="n"/>
      <c r="I40" s="121" t="n"/>
      <c r="J40" s="121" t="n"/>
      <c r="K40" s="121" t="n"/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5.75" customHeight="1" s="122">
      <c r="A41" s="121" t="n"/>
      <c r="B41" s="121" t="n"/>
      <c r="C41" s="121" t="n"/>
      <c r="D41" s="121" t="n"/>
      <c r="E41" s="121" t="n"/>
      <c r="F41" s="121" t="n"/>
      <c r="G41" s="121" t="n"/>
      <c r="H41" s="121" t="n"/>
      <c r="I41" s="121" t="n"/>
      <c r="J41" s="121" t="n"/>
      <c r="K41" s="121" t="n"/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5.75" customHeight="1" s="122">
      <c r="A42" s="121" t="n"/>
      <c r="B42" s="121" t="n"/>
      <c r="C42" s="121" t="n"/>
      <c r="D42" s="121" t="n"/>
      <c r="E42" s="121" t="n"/>
      <c r="F42" s="121" t="n"/>
      <c r="G42" s="121" t="n"/>
      <c r="H42" s="121" t="n"/>
      <c r="I42" s="121" t="n"/>
      <c r="J42" s="121" t="n"/>
      <c r="K42" s="121" t="n"/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5.75" customHeight="1" s="122">
      <c r="A43" s="121" t="n"/>
      <c r="B43" s="121" t="n"/>
      <c r="C43" s="121" t="n"/>
      <c r="D43" s="121" t="n"/>
      <c r="E43" s="121" t="n"/>
      <c r="F43" s="121" t="n"/>
      <c r="G43" s="121" t="n"/>
      <c r="H43" s="121" t="n"/>
      <c r="I43" s="121" t="n"/>
      <c r="J43" s="121" t="n"/>
      <c r="K43" s="121" t="n"/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5.75" customHeight="1" s="122">
      <c r="A44" s="121" t="n"/>
      <c r="B44" s="121" t="n"/>
      <c r="C44" s="121" t="n"/>
      <c r="D44" s="121" t="n"/>
      <c r="E44" s="121" t="n"/>
      <c r="F44" s="121" t="n"/>
      <c r="G44" s="121" t="n"/>
      <c r="H44" s="121" t="n"/>
      <c r="I44" s="121" t="n"/>
      <c r="J44" s="121" t="n"/>
      <c r="K44" s="121" t="n"/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5.75" customHeight="1" s="122">
      <c r="A45" s="121" t="n"/>
      <c r="B45" s="121" t="n"/>
      <c r="C45" s="121" t="n"/>
      <c r="D45" s="121" t="n"/>
      <c r="E45" s="121" t="n"/>
      <c r="F45" s="121" t="n"/>
      <c r="G45" s="121" t="n"/>
      <c r="H45" s="121" t="n"/>
      <c r="I45" s="121" t="n"/>
      <c r="J45" s="121" t="n"/>
      <c r="K45" s="121" t="n"/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5.75" customHeight="1" s="122">
      <c r="A46" s="121" t="n"/>
      <c r="B46" s="121" t="n"/>
      <c r="C46" s="121" t="n"/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5.75" customHeight="1" s="122">
      <c r="A47" s="121" t="n"/>
      <c r="B47" s="121" t="n"/>
      <c r="C47" s="121" t="n"/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5.75" customHeight="1" s="122">
      <c r="A48" s="121" t="n"/>
      <c r="B48" s="121" t="n"/>
      <c r="C48" s="121" t="n"/>
      <c r="D48" s="121" t="n"/>
      <c r="E48" s="121" t="n"/>
      <c r="F48" s="121" t="n"/>
      <c r="G48" s="121" t="n"/>
      <c r="H48" s="121" t="n"/>
      <c r="I48" s="121" t="n"/>
      <c r="J48" s="121" t="n"/>
      <c r="K48" s="121" t="n"/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5.75" customHeight="1" s="122">
      <c r="A49" s="121" t="n"/>
      <c r="B49" s="121" t="n"/>
      <c r="C49" s="121" t="n"/>
      <c r="D49" s="121" t="n"/>
      <c r="E49" s="121" t="n"/>
      <c r="F49" s="121" t="n"/>
      <c r="G49" s="121" t="n"/>
      <c r="H49" s="121" t="n"/>
      <c r="I49" s="121" t="n"/>
      <c r="J49" s="121" t="n"/>
      <c r="K49" s="121" t="n"/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5.75" customHeight="1" s="122">
      <c r="A50" s="121" t="n"/>
      <c r="B50" s="121" t="n"/>
      <c r="C50" s="121" t="n"/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5.75" customHeight="1" s="122">
      <c r="A51" s="121" t="n"/>
      <c r="B51" s="121" t="n"/>
      <c r="C51" s="121" t="n"/>
      <c r="D51" s="121" t="n"/>
      <c r="E51" s="121" t="n"/>
      <c r="F51" s="121" t="n"/>
      <c r="G51" s="121" t="n"/>
      <c r="H51" s="121" t="n"/>
      <c r="I51" s="121" t="n"/>
      <c r="J51" s="121" t="n"/>
      <c r="K51" s="121" t="n"/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5.75" customHeight="1" s="122">
      <c r="A52" s="121" t="n"/>
      <c r="B52" s="121" t="n"/>
      <c r="C52" s="121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5.75" customHeight="1" s="122">
      <c r="A53" s="121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5.75" customHeight="1" s="122">
      <c r="A54" s="121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1" t="n"/>
      <c r="K54" s="121" t="n"/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5.75" customHeight="1" s="122">
      <c r="A55" s="121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1" t="n"/>
      <c r="K55" s="121" t="n"/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5.75" customHeight="1" s="122">
      <c r="A56" s="121" t="n"/>
      <c r="B56" s="121" t="n"/>
      <c r="C56" s="121" t="n"/>
      <c r="D56" s="121" t="n"/>
      <c r="E56" s="121" t="n"/>
      <c r="F56" s="121" t="n"/>
      <c r="G56" s="121" t="n"/>
      <c r="H56" s="121" t="n"/>
      <c r="I56" s="121" t="n"/>
      <c r="J56" s="121" t="n"/>
      <c r="K56" s="121" t="n"/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5.75" customHeight="1" s="122">
      <c r="A57" s="121" t="n"/>
      <c r="B57" s="121" t="n"/>
      <c r="C57" s="121" t="n"/>
      <c r="D57" s="121" t="n"/>
      <c r="E57" s="121" t="n"/>
      <c r="F57" s="121" t="n"/>
      <c r="G57" s="121" t="n"/>
      <c r="H57" s="121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5.75" customHeight="1" s="122">
      <c r="A58" s="121" t="n"/>
      <c r="B58" s="121" t="n"/>
      <c r="C58" s="121" t="n"/>
      <c r="D58" s="121" t="n"/>
      <c r="E58" s="121" t="n"/>
      <c r="F58" s="121" t="n"/>
      <c r="G58" s="121" t="n"/>
      <c r="H58" s="121" t="n"/>
      <c r="I58" s="121" t="n"/>
      <c r="J58" s="121" t="n"/>
      <c r="K58" s="121" t="n"/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5.75" customHeight="1" s="122">
      <c r="A59" s="121" t="n"/>
      <c r="B59" s="121" t="n"/>
      <c r="C59" s="121" t="n"/>
      <c r="D59" s="121" t="n"/>
      <c r="E59" s="121" t="n"/>
      <c r="F59" s="121" t="n"/>
      <c r="G59" s="121" t="n"/>
      <c r="H59" s="121" t="n"/>
      <c r="I59" s="121" t="n"/>
      <c r="J59" s="121" t="n"/>
      <c r="K59" s="121" t="n"/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5.75" customHeight="1" s="122">
      <c r="A60" s="121" t="n"/>
      <c r="B60" s="121" t="n"/>
      <c r="C60" s="121" t="n"/>
      <c r="D60" s="121" t="n"/>
      <c r="E60" s="121" t="n"/>
      <c r="F60" s="121" t="n"/>
      <c r="G60" s="121" t="n"/>
      <c r="H60" s="121" t="n"/>
      <c r="I60" s="121" t="n"/>
      <c r="J60" s="121" t="n"/>
      <c r="K60" s="121" t="n"/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5.75" customHeight="1" s="122">
      <c r="A61" s="121" t="n"/>
      <c r="B61" s="121" t="n"/>
      <c r="C61" s="121" t="n"/>
      <c r="D61" s="121" t="n"/>
      <c r="E61" s="121" t="n"/>
      <c r="F61" s="121" t="n"/>
      <c r="G61" s="121" t="n"/>
      <c r="H61" s="121" t="n"/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5.75" customHeight="1" s="122">
      <c r="A62" s="121" t="n"/>
      <c r="B62" s="121" t="n"/>
      <c r="C62" s="121" t="n"/>
      <c r="D62" s="121" t="n"/>
      <c r="E62" s="121" t="n"/>
      <c r="F62" s="121" t="n"/>
      <c r="G62" s="121" t="n"/>
      <c r="H62" s="121" t="n"/>
      <c r="I62" s="121" t="n"/>
      <c r="J62" s="121" t="n"/>
      <c r="K62" s="121" t="n"/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5.75" customHeight="1" s="122">
      <c r="A63" s="121" t="n"/>
      <c r="B63" s="121" t="n"/>
      <c r="C63" s="121" t="n"/>
      <c r="D63" s="121" t="n"/>
      <c r="E63" s="121" t="n"/>
      <c r="F63" s="121" t="n"/>
      <c r="G63" s="121" t="n"/>
      <c r="H63" s="121" t="n"/>
      <c r="I63" s="121" t="n"/>
      <c r="J63" s="121" t="n"/>
      <c r="K63" s="121" t="n"/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5.75" customHeight="1" s="122">
      <c r="A64" s="121" t="n"/>
      <c r="B64" s="121" t="n"/>
      <c r="C64" s="121" t="n"/>
      <c r="D64" s="121" t="n"/>
      <c r="E64" s="121" t="n"/>
      <c r="F64" s="121" t="n"/>
      <c r="G64" s="121" t="n"/>
      <c r="H64" s="121" t="n"/>
      <c r="I64" s="121" t="n"/>
      <c r="J64" s="121" t="n"/>
      <c r="K64" s="121" t="n"/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5.75" customHeight="1" s="122">
      <c r="A65" s="121" t="n"/>
      <c r="B65" s="121" t="n"/>
      <c r="C65" s="121" t="n"/>
      <c r="D65" s="121" t="n"/>
      <c r="E65" s="121" t="n"/>
      <c r="F65" s="121" t="n"/>
      <c r="G65" s="121" t="n"/>
      <c r="H65" s="121" t="n"/>
      <c r="I65" s="121" t="n"/>
      <c r="J65" s="121" t="n"/>
      <c r="K65" s="121" t="n"/>
      <c r="L65" s="121" t="n"/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5.75" customHeight="1" s="122">
      <c r="A66" s="121" t="n"/>
      <c r="B66" s="121" t="n"/>
      <c r="C66" s="121" t="n"/>
      <c r="D66" s="121" t="n"/>
      <c r="E66" s="121" t="n"/>
      <c r="F66" s="121" t="n"/>
      <c r="G66" s="121" t="n"/>
      <c r="H66" s="121" t="n"/>
      <c r="I66" s="121" t="n"/>
      <c r="J66" s="121" t="n"/>
      <c r="K66" s="121" t="n"/>
      <c r="L66" s="121" t="n"/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5.75" customHeight="1" s="122">
      <c r="A67" s="121" t="n"/>
      <c r="B67" s="121" t="n"/>
      <c r="C67" s="121" t="n"/>
      <c r="D67" s="121" t="n"/>
      <c r="E67" s="121" t="n"/>
      <c r="F67" s="121" t="n"/>
      <c r="G67" s="121" t="n"/>
      <c r="H67" s="121" t="n"/>
      <c r="I67" s="121" t="n"/>
      <c r="J67" s="121" t="n"/>
      <c r="K67" s="121" t="n"/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5.75" customHeight="1" s="122">
      <c r="A68" s="121" t="n"/>
      <c r="B68" s="121" t="n"/>
      <c r="C68" s="121" t="n"/>
      <c r="D68" s="121" t="n"/>
      <c r="E68" s="121" t="n"/>
      <c r="F68" s="121" t="n"/>
      <c r="G68" s="121" t="n"/>
      <c r="H68" s="121" t="n"/>
      <c r="I68" s="121" t="n"/>
      <c r="J68" s="121" t="n"/>
      <c r="K68" s="121" t="n"/>
      <c r="L68" s="121" t="n"/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5.75" customHeight="1" s="122">
      <c r="A69" s="121" t="n"/>
      <c r="B69" s="121" t="n"/>
      <c r="C69" s="121" t="n"/>
      <c r="D69" s="121" t="n"/>
      <c r="E69" s="121" t="n"/>
      <c r="F69" s="121" t="n"/>
      <c r="G69" s="121" t="n"/>
      <c r="H69" s="121" t="n"/>
      <c r="I69" s="121" t="n"/>
      <c r="J69" s="121" t="n"/>
      <c r="K69" s="121" t="n"/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5.75" customHeight="1" s="122">
      <c r="A70" s="121" t="n"/>
      <c r="B70" s="121" t="n"/>
      <c r="C70" s="121" t="n"/>
      <c r="D70" s="121" t="n"/>
      <c r="E70" s="121" t="n"/>
      <c r="F70" s="121" t="n"/>
      <c r="G70" s="121" t="n"/>
      <c r="H70" s="121" t="n"/>
      <c r="I70" s="121" t="n"/>
      <c r="J70" s="121" t="n"/>
      <c r="K70" s="121" t="n"/>
      <c r="L70" s="121" t="n"/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15.75" customHeight="1" s="122">
      <c r="A71" s="121" t="n"/>
      <c r="B71" s="121" t="n"/>
      <c r="C71" s="121" t="n"/>
      <c r="D71" s="121" t="n"/>
      <c r="E71" s="121" t="n"/>
      <c r="F71" s="121" t="n"/>
      <c r="G71" s="121" t="n"/>
      <c r="H71" s="121" t="n"/>
      <c r="I71" s="121" t="n"/>
      <c r="J71" s="121" t="n"/>
      <c r="K71" s="121" t="n"/>
      <c r="L71" s="12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5.75" customHeight="1" s="122">
      <c r="A72" s="121" t="n"/>
      <c r="B72" s="121" t="n"/>
      <c r="C72" s="121" t="n"/>
      <c r="D72" s="121" t="n"/>
      <c r="E72" s="121" t="n"/>
      <c r="F72" s="121" t="n"/>
      <c r="G72" s="121" t="n"/>
      <c r="H72" s="121" t="n"/>
      <c r="I72" s="121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5.75" customHeight="1" s="122">
      <c r="A73" s="121" t="n"/>
      <c r="B73" s="121" t="n"/>
      <c r="C73" s="121" t="n"/>
      <c r="D73" s="121" t="n"/>
      <c r="E73" s="121" t="n"/>
      <c r="F73" s="121" t="n"/>
      <c r="G73" s="121" t="n"/>
      <c r="H73" s="121" t="n"/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5.75" customHeight="1" s="122">
      <c r="A74" s="121" t="n"/>
      <c r="B74" s="121" t="n"/>
      <c r="C74" s="121" t="n"/>
      <c r="D74" s="121" t="n"/>
      <c r="E74" s="121" t="n"/>
      <c r="F74" s="121" t="n"/>
      <c r="G74" s="121" t="n"/>
      <c r="H74" s="121" t="n"/>
      <c r="I74" s="121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5.75" customHeight="1" s="122">
      <c r="A75" s="121" t="n"/>
      <c r="B75" s="121" t="n"/>
      <c r="C75" s="121" t="n"/>
      <c r="D75" s="121" t="n"/>
      <c r="E75" s="121" t="n"/>
      <c r="F75" s="121" t="n"/>
      <c r="G75" s="121" t="n"/>
      <c r="H75" s="121" t="n"/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5.75" customHeight="1" s="122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5.75" customHeight="1" s="122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5.75" customHeight="1" s="122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5.75" customHeight="1" s="122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5.75" customHeight="1" s="122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5.75" customHeight="1" s="122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5.75" customHeight="1" s="122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5.75" customHeight="1" s="122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5.75" customHeight="1" s="122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5.75" customHeight="1" s="122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5.75" customHeight="1" s="122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5.75" customHeight="1" s="122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5.75" customHeight="1" s="122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5.75" customHeight="1" s="122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5.75" customHeight="1" s="122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5.75" customHeight="1" s="122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5.75" customHeight="1" s="122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5.75" customHeight="1" s="122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5.75" customHeight="1" s="122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5.75" customHeight="1" s="122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5.75" customHeight="1" s="122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5.75" customHeight="1" s="122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5.75" customHeight="1" s="122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5.75" customHeight="1" s="122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5.75" customHeight="1" s="122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5.75" customHeight="1" s="122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5.75" customHeight="1" s="122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5.75" customHeight="1" s="122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5.75" customHeight="1" s="122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5.75" customHeight="1" s="122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5.75" customHeight="1" s="122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5.75" customHeight="1" s="122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5.75" customHeight="1" s="122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5.75" customHeight="1" s="122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5.75" customHeight="1" s="122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5.75" customHeight="1" s="122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5.75" customHeight="1" s="122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5.75" customHeight="1" s="122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5.75" customHeight="1" s="122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5.75" customHeight="1" s="122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5.75" customHeight="1" s="122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5.75" customHeight="1" s="122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5.75" customHeight="1" s="122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5.75" customHeight="1" s="122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5.75" customHeight="1" s="122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5.75" customHeight="1" s="122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5.75" customHeight="1" s="122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5.75" customHeight="1" s="122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5.75" customHeight="1" s="122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5.75" customHeight="1" s="122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5.75" customHeight="1" s="122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5.75" customHeight="1" s="122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5.75" customHeight="1" s="122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5.75" customHeight="1" s="122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5.75" customHeight="1" s="122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5.75" customHeight="1" s="122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5.75" customHeight="1" s="122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5.75" customHeight="1" s="122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5.75" customHeight="1" s="122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5.75" customHeight="1" s="122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5.75" customHeight="1" s="122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5.75" customHeight="1" s="122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5.75" customHeight="1" s="122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5.75" customHeight="1" s="122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5.75" customHeight="1" s="122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5.75" customHeight="1" s="122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5.75" customHeight="1" s="122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5.75" customHeight="1" s="122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5.75" customHeight="1" s="122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5.75" customHeight="1" s="122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5.75" customHeight="1" s="122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5.75" customHeight="1" s="122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5.75" customHeight="1" s="122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5.75" customHeight="1" s="122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5.75" customHeight="1" s="122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5.75" customHeight="1" s="122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5.75" customHeight="1" s="122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5.75" customHeight="1" s="122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5.75" customHeight="1" s="122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5.75" customHeight="1" s="122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5.75" customHeight="1" s="122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5.75" customHeight="1" s="122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5.75" customHeight="1" s="122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5.75" customHeight="1" s="122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5.75" customHeight="1" s="122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5.75" customHeight="1" s="122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5.75" customHeight="1" s="122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5.75" customHeight="1" s="122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5.75" customHeight="1" s="122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5.75" customHeight="1" s="122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5.75" customHeight="1" s="122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5.75" customHeight="1" s="122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5.75" customHeight="1" s="122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5.75" customHeight="1" s="122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5.75" customHeight="1" s="122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5.75" customHeight="1" s="122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5.75" customHeight="1" s="122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5.75" customHeight="1" s="122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5.75" customHeight="1" s="122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5.75" customHeight="1" s="122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5.75" customHeight="1" s="122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5.75" customHeight="1" s="122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5.75" customHeight="1" s="122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5.75" customHeight="1" s="122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5.75" customHeight="1" s="122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5.75" customHeight="1" s="122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5.75" customHeight="1" s="122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5.75" customHeight="1" s="122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5.75" customHeight="1" s="122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5.75" customHeight="1" s="122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5.75" customHeight="1" s="122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5.75" customHeight="1" s="122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5.75" customHeight="1" s="122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5.75" customHeight="1" s="122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5.75" customHeight="1" s="122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5.75" customHeight="1" s="122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5.75" customHeight="1" s="122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5.75" customHeight="1" s="122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5.75" customHeight="1" s="122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5.75" customHeight="1" s="122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5.75" customHeight="1" s="122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5.75" customHeight="1" s="122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5.75" customHeight="1" s="122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5.75" customHeight="1" s="122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5.75" customHeight="1" s="122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5.75" customHeight="1" s="122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5.75" customHeight="1" s="122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5.75" customHeight="1" s="122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5.75" customHeight="1" s="122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5.75" customHeight="1" s="122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5.75" customHeight="1" s="122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5.75" customHeight="1" s="122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5.75" customHeight="1" s="122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5.75" customHeight="1" s="122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5.75" customHeight="1" s="122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5.75" customHeight="1" s="122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5.75" customHeight="1" s="122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5.75" customHeight="1" s="122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5.75" customHeight="1" s="122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5.75" customHeight="1" s="122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5.75" customHeight="1" s="122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5.75" customHeight="1" s="122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5.75" customHeight="1" s="122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5.75" customHeight="1" s="122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5.75" customHeight="1" s="122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5.75" customHeight="1" s="122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5.75" customHeight="1" s="122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5.75" customHeight="1" s="122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5.75" customHeight="1" s="122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5.75" customHeight="1" s="122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5.75" customHeight="1" s="122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5.75" customHeight="1" s="122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5.75" customHeight="1" s="122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5.75" customHeight="1" s="122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5.75" customHeight="1" s="122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5.75" customHeight="1" s="122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5.75" customHeight="1" s="122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5.75" customHeight="1" s="122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5.75" customHeight="1" s="122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5.75" customHeight="1" s="122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5.75" customHeight="1" s="122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5.75" customHeight="1" s="122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5.75" customHeight="1" s="122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5.75" customHeight="1" s="122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5.75" customHeight="1" s="122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5.75" customHeight="1" s="122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5.75" customHeight="1" s="122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5.75" customHeight="1" s="122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5.75" customHeight="1" s="122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5.75" customHeight="1" s="122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5.75" customHeight="1" s="122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5.75" customHeight="1" s="122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5.75" customHeight="1" s="122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5.75" customHeight="1" s="122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5.75" customHeight="1" s="122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5.75" customHeight="1" s="122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5.75" customHeight="1" s="122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5.75" customHeight="1" s="122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5.75" customHeight="1" s="122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5.75" customHeight="1" s="122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5.75" customHeight="1" s="122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5.75" customHeight="1" s="122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5.75" customHeight="1" s="122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5.75" customHeight="1" s="122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5.75" customHeight="1" s="122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5.75" customHeight="1" s="122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5.75" customHeight="1" s="122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5.75" customHeight="1" s="122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5.75" customHeight="1" s="122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5.75" customHeight="1" s="122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5.75" customHeight="1" s="122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5.75" customHeight="1" s="122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5.75" customHeight="1" s="122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5.75" customHeight="1" s="122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5.75" customHeight="1" s="122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5.75" customHeight="1" s="122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5.75" customHeight="1" s="122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5.75" customHeight="1" s="122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5.75" customHeight="1" s="122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5.75" customHeight="1" s="122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5.75" customHeight="1" s="122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5.75" customHeight="1" s="122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5.75" customHeight="1" s="122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5.75" customHeight="1" s="122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5.75" customHeight="1" s="122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5.75" customHeight="1" s="122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5.75" customHeight="1" s="122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5.75" customHeight="1" s="122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5.75" customHeight="1" s="122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5.75" customHeight="1" s="122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5.75" customHeight="1" s="122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5.75" customHeight="1" s="122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5.75" customHeight="1" s="122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5.75" customHeight="1" s="122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5.75" customHeight="1" s="122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5.75" customHeight="1" s="122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5.75" customHeight="1" s="122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5.75" customHeight="1" s="122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5.75" customHeight="1" s="122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5.75" customHeight="1" s="122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5.75" customHeight="1" s="122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5.75" customHeight="1" s="122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5.75" customHeight="1" s="122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5.75" customHeight="1" s="122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5.75" customHeight="1" s="122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5.75" customHeight="1" s="122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5.75" customHeight="1" s="122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5.75" customHeight="1" s="122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5.75" customHeight="1" s="122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5.75" customHeight="1" s="122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5.75" customHeight="1" s="122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5.75" customHeight="1" s="122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5.75" customHeight="1" s="122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5.75" customHeight="1" s="122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5.75" customHeight="1" s="122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5.75" customHeight="1" s="122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5.75" customHeight="1" s="122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5.75" customHeight="1" s="122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5.75" customHeight="1" s="122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5.75" customHeight="1" s="122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5.75" customHeight="1" s="122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5.75" customHeight="1" s="122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5.75" customHeight="1" s="122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5.75" customHeight="1" s="122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5.75" customHeight="1" s="122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5.75" customHeight="1" s="122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5.75" customHeight="1" s="122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5.75" customHeight="1" s="122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5.75" customHeight="1" s="122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5.75" customHeight="1" s="122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5.75" customHeight="1" s="122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5.75" customHeight="1" s="122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5.75" customHeight="1" s="122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5.75" customHeight="1" s="122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5.75" customHeight="1" s="122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5.75" customHeight="1" s="122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5.75" customHeight="1" s="122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5.75" customHeight="1" s="122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5.75" customHeight="1" s="122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5.75" customHeight="1" s="122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5.75" customHeight="1" s="122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5.75" customHeight="1" s="122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5.75" customHeight="1" s="122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5.75" customHeight="1" s="122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5.75" customHeight="1" s="122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5.75" customHeight="1" s="122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5.75" customHeight="1" s="122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5.75" customHeight="1" s="122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5.75" customHeight="1" s="122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5.75" customHeight="1" s="122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5.75" customHeight="1" s="122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5.75" customHeight="1" s="122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5.75" customHeight="1" s="122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5.75" customHeight="1" s="122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5.75" customHeight="1" s="122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5.75" customHeight="1" s="122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5.75" customHeight="1" s="122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5.75" customHeight="1" s="122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5.75" customHeight="1" s="122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5.75" customHeight="1" s="122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5.75" customHeight="1" s="122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5.75" customHeight="1" s="122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5.75" customHeight="1" s="122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5.75" customHeight="1" s="122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5.75" customHeight="1" s="122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5.75" customHeight="1" s="122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5.75" customHeight="1" s="122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5.75" customHeight="1" s="122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5.75" customHeight="1" s="122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5.75" customHeight="1" s="122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5.75" customHeight="1" s="122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5.75" customHeight="1" s="122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5.75" customHeight="1" s="122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5.75" customHeight="1" s="122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5.75" customHeight="1" s="122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5.75" customHeight="1" s="122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5.75" customHeight="1" s="122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5.75" customHeight="1" s="122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5.75" customHeight="1" s="122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5.75" customHeight="1" s="122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5.75" customHeight="1" s="122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5.75" customHeight="1" s="122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5.75" customHeight="1" s="122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5.75" customHeight="1" s="122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5.75" customHeight="1" s="122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5.75" customHeight="1" s="122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5.75" customHeight="1" s="122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5.75" customHeight="1" s="122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5.75" customHeight="1" s="122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5.75" customHeight="1" s="122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5.75" customHeight="1" s="122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5.75" customHeight="1" s="122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5.75" customHeight="1" s="122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5.75" customHeight="1" s="122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5.75" customHeight="1" s="122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5.75" customHeight="1" s="122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5.75" customHeight="1" s="122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5.75" customHeight="1" s="122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5.75" customHeight="1" s="122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5.75" customHeight="1" s="122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5.75" customHeight="1" s="122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5.75" customHeight="1" s="122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5.75" customHeight="1" s="122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5.75" customHeight="1" s="122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5.75" customHeight="1" s="122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5.75" customHeight="1" s="122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5.75" customHeight="1" s="122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5.75" customHeight="1" s="122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5.75" customHeight="1" s="122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5.75" customHeight="1" s="122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5.75" customHeight="1" s="122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5.75" customHeight="1" s="122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5.75" customHeight="1" s="122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5.75" customHeight="1" s="122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5.75" customHeight="1" s="122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5.75" customHeight="1" s="122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5.75" customHeight="1" s="122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5.75" customHeight="1" s="122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5.75" customHeight="1" s="122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5.75" customHeight="1" s="122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5.75" customHeight="1" s="122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5.75" customHeight="1" s="122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5.75" customHeight="1" s="122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5.75" customHeight="1" s="122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5.75" customHeight="1" s="122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5.75" customHeight="1" s="122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5.75" customHeight="1" s="122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5.75" customHeight="1" s="122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5.75" customHeight="1" s="122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5.75" customHeight="1" s="122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5.75" customHeight="1" s="122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5.75" customHeight="1" s="122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5.75" customHeight="1" s="122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5.75" customHeight="1" s="122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5.75" customHeight="1" s="122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5.75" customHeight="1" s="122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5.75" customHeight="1" s="122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5.75" customHeight="1" s="122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5.75" customHeight="1" s="122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5.75" customHeight="1" s="122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5.75" customHeight="1" s="122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5.75" customHeight="1" s="122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5.75" customHeight="1" s="122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5.75" customHeight="1" s="122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5.75" customHeight="1" s="122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5.75" customHeight="1" s="122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5.75" customHeight="1" s="122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5.75" customHeight="1" s="122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5.75" customHeight="1" s="122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5.75" customHeight="1" s="122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5.75" customHeight="1" s="122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5.75" customHeight="1" s="122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5.75" customHeight="1" s="122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5.75" customHeight="1" s="122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5.75" customHeight="1" s="122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5.75" customHeight="1" s="122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5.75" customHeight="1" s="122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5.75" customHeight="1" s="122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5.75" customHeight="1" s="122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5.75" customHeight="1" s="122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5.75" customHeight="1" s="122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5.75" customHeight="1" s="122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5.75" customHeight="1" s="122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5.75" customHeight="1" s="122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5.75" customHeight="1" s="122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5.75" customHeight="1" s="122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5.75" customHeight="1" s="122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5.75" customHeight="1" s="122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5.75" customHeight="1" s="122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5.75" customHeight="1" s="122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5.75" customHeight="1" s="122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5.75" customHeight="1" s="122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5.75" customHeight="1" s="122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5.75" customHeight="1" s="122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5.75" customHeight="1" s="122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5.75" customHeight="1" s="122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5.75" customHeight="1" s="122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5.75" customHeight="1" s="122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5.75" customHeight="1" s="122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5.75" customHeight="1" s="122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5.75" customHeight="1" s="122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5.75" customHeight="1" s="122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5.75" customHeight="1" s="122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5.75" customHeight="1" s="122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5.75" customHeight="1" s="122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5.75" customHeight="1" s="122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5.75" customHeight="1" s="122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5.75" customHeight="1" s="122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5.75" customHeight="1" s="122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5.75" customHeight="1" s="122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5.75" customHeight="1" s="122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5.75" customHeight="1" s="122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5.75" customHeight="1" s="122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5.75" customHeight="1" s="122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5.75" customHeight="1" s="122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5.75" customHeight="1" s="122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5.75" customHeight="1" s="122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5.75" customHeight="1" s="122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5.75" customHeight="1" s="122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5.75" customHeight="1" s="122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5.75" customHeight="1" s="122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5.75" customHeight="1" s="122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5.75" customHeight="1" s="122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5.75" customHeight="1" s="122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5.75" customHeight="1" s="122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5.75" customHeight="1" s="122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5.75" customHeight="1" s="122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5.75" customHeight="1" s="122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 s="122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 s="122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 s="122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 s="122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 s="122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 s="122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 s="122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 s="122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 s="122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 s="122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 s="122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 s="122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 s="122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 s="122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 s="122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 s="122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 s="122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 s="122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 s="122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 s="122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 s="122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 s="122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 s="122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 s="122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 s="122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 s="122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 s="122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 s="122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 s="122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 s="122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 s="122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 s="122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 s="122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 s="122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 s="122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 s="122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 s="122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 s="122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 s="122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 s="122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 s="122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 s="122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 s="122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 s="122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 s="122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 s="122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 s="122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 s="122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 s="122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 s="122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 s="122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 s="122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 s="122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 s="122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 s="122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 s="122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 s="122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 s="122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 s="122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 s="122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 s="122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 s="122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 s="122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 s="122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 s="122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 s="122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 s="122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 s="122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 s="122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 s="122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 s="122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 s="122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 s="122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 s="122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 s="122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 s="122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 s="122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 s="122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 s="122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 s="122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 s="122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 s="122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 s="122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 s="122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 s="122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 s="122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 s="122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 s="122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 s="122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 s="122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 s="122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 s="122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 s="122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 s="122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 s="122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 s="122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 s="122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 s="122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 s="122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 s="122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 s="122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 s="122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 s="122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 s="122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 s="122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 s="122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 s="122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 s="122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 s="122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 s="122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 s="122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 s="122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 s="122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 s="122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 s="122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 s="122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 s="122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 s="122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 s="122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 s="122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 s="122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 s="122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 s="122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 s="122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 s="122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 s="122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 s="122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 s="122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 s="122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 s="122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 s="122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 s="122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 s="122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 s="122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 s="122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 s="122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 s="122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 s="122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 s="122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 s="122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 s="122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 s="122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 s="122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 s="122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 s="122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 s="122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 s="122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 s="122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 s="122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 s="122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 s="122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 s="122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 s="122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 s="122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 s="122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 s="122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 s="122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 s="122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 s="122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 s="122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 s="122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 s="122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 s="122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 s="122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 s="122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 s="122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 s="122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 s="122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 s="122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 s="122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 s="122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 s="122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 s="122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 s="122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 s="122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 s="122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 s="122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 s="122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 s="122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 s="122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 s="122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 s="122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 s="122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 s="122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 s="122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 s="122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 s="122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 s="122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 s="122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 s="122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 s="122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 s="122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 s="122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 s="122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 s="122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 s="122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 s="122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 s="122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 s="122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 s="122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 s="122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 s="122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 s="122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 s="122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 s="122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 s="122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 s="122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 s="122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 s="122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 s="122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 s="122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 s="122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 s="122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 s="122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 s="122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 s="122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 s="122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 s="122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 s="122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 s="122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 s="122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 s="122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 s="122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 s="122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 s="122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 s="122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 s="122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 s="122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 s="122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 s="122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 s="122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 s="122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 s="122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 s="122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 s="122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 s="122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 s="122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 s="122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 s="122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 s="122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 s="122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 s="122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 s="122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 s="122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 s="122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 s="122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 s="122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 s="122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 s="122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 s="122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 s="122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 s="122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 s="122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 s="122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 s="122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 s="122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 s="122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 s="122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 s="122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 s="122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 s="122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 s="122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 s="122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 s="122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 s="122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 s="122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 s="122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 s="122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 s="122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 s="122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 s="122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 s="122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 s="122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 s="122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 s="122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 s="122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 s="122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 s="122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 s="122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 s="122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 s="122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 s="122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 s="122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 s="122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 s="122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 s="122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 s="122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 s="122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 s="122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 s="122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 s="122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 s="122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 s="122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 s="122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 s="122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 s="122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 s="122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 s="122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 s="122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 s="122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 s="122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 s="122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 s="122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 s="122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 s="122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 s="122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 s="122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 s="122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 s="122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 s="122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 s="122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 s="122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 s="122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 s="122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 s="122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 s="122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 s="122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 s="122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 s="122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 s="122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 s="122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 s="122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 s="122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 s="122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 s="122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 s="122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 s="122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 s="122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 s="122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 s="122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 s="122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 s="122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 s="122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 s="122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 s="122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 s="122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 s="122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 s="122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 s="122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 s="122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 s="122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 s="122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 s="122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 s="122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 s="122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 s="122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 s="122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 s="122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 s="122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 s="122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 s="122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 s="122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 s="122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 s="122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 s="122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 s="122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 s="122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 s="122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 s="122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 s="122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 s="122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 s="122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 s="122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 s="122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 s="122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 s="122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 s="122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 s="122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 s="122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 s="122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 s="122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 s="122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 s="122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 s="122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 s="122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 s="122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 s="122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 s="122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 s="122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 s="122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 s="122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 s="122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 s="122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 s="122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 s="122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 s="122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 s="122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 s="122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 s="122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 s="122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 s="122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 s="122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 s="122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 s="122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 s="122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 s="122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 s="122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 s="122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 s="122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 s="122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 s="122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 s="122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 s="122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 s="122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 s="122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 s="122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 s="122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 s="122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 s="122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 s="122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 s="122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 s="122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 s="122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 s="122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 s="122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 s="122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 s="122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 s="122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 s="122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 s="122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 s="122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 s="122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 s="122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 s="122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 s="122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 s="122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 s="122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 s="122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 s="122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 s="122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 s="122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 s="122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 s="122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 s="122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 s="122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 s="122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 s="122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 s="122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 s="122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 s="122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 s="122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 s="122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 s="122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 s="122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 s="122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 s="122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 s="122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 s="122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 s="122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 s="122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 s="122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 s="122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 s="122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 s="122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 s="122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 s="122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 s="122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 s="122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 s="122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 s="122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 s="122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 s="122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 s="122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 s="122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 s="122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 s="122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 s="122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 s="122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 s="122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 s="122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 s="122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 s="122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 s="122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 s="122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 s="122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 s="122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 s="122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 s="122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 s="122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 s="122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 s="122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 s="122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 s="122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 s="122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 s="122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 s="122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 s="122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 s="122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 s="122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 s="122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 s="122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 s="122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 s="122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 s="122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 s="122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 s="122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 s="122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4">
    <mergeCell ref="B3:K3"/>
    <mergeCell ref="B1:K1"/>
    <mergeCell ref="B20:D20"/>
    <mergeCell ref="B21:K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E6FD9"/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121" min="1" max="1"/>
    <col width="5" customWidth="1" style="121" min="2" max="2"/>
    <col width="16" customWidth="1" style="121" min="3" max="3"/>
    <col width="44" customWidth="1" style="121" min="4" max="4"/>
    <col width="10" customWidth="1" style="121" min="5" max="5"/>
    <col width="20" customWidth="1" style="121" min="6" max="6"/>
    <col width="14" customWidth="1" style="121" min="7" max="7"/>
    <col width="34" customWidth="1" style="121" min="8" max="8"/>
    <col width="26" customWidth="1" style="121" min="9" max="9"/>
  </cols>
  <sheetData>
    <row r="1" ht="33.75" customHeight="1" s="122">
      <c r="A1" s="121" t="n"/>
      <c r="B1" s="154">
        <f>UPPER("INPUT PENCAPAIAN HARIAN — "&amp;'MASTER DATA'!H2)</f>
        <v/>
      </c>
      <c r="C1" s="124" t="n"/>
      <c r="D1" s="124" t="n"/>
      <c r="E1" s="124" t="n"/>
      <c r="F1" s="124" t="n"/>
      <c r="G1" s="124" t="n"/>
      <c r="H1" s="124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15.75" customHeight="1" s="122">
      <c r="A2" s="121" t="n"/>
      <c r="B2" s="155" t="inlineStr">
        <is>
          <t>Isi kolom BIRU  |  Tanggal: ketik langsung (format MM/DD/YYYY) atau pilih dari kalender  |  PIC otomatis terisi  |  Kolom I: Isi Status Kualitatif ("Belum" / "Sedang Proses" / "Selesai") untuk program bertipe Kualitatif</t>
        </is>
      </c>
      <c r="C2" s="124" t="n"/>
      <c r="D2" s="124" t="n"/>
      <c r="E2" s="124" t="n"/>
      <c r="F2" s="124" t="n"/>
      <c r="G2" s="124" t="n"/>
      <c r="H2" s="124" t="n"/>
      <c r="I2" s="121" t="n"/>
      <c r="J2" s="121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36" customHeight="1" s="122">
      <c r="A3" s="121" t="n"/>
      <c r="B3" s="131" t="inlineStr">
        <is>
          <t>No</t>
        </is>
      </c>
      <c r="C3" s="131" t="inlineStr">
        <is>
          <t>Tanggal</t>
        </is>
      </c>
      <c r="D3" s="131" t="inlineStr">
        <is>
          <t>Program</t>
        </is>
      </c>
      <c r="E3" s="131" t="inlineStr">
        <is>
          <t>PIC</t>
        </is>
      </c>
      <c r="F3" s="131" t="inlineStr">
        <is>
          <t>Pencapaian
(Rp)</t>
        </is>
      </c>
      <c r="G3" s="131" t="inlineStr">
        <is>
          <t>Pencapaian
(User)</t>
        </is>
      </c>
      <c r="H3" s="131" t="inlineStr">
        <is>
          <t>Catatan / Keterangan</t>
        </is>
      </c>
      <c r="I3" s="156" t="inlineStr">
        <is>
          <t>Status Kualitatif
(Isi jika program Kualitatif)</t>
        </is>
      </c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19.5" customHeight="1" s="122">
      <c r="A4" s="121" t="n"/>
      <c r="B4" s="133" t="n">
        <v>1</v>
      </c>
      <c r="C4" s="157" t="n">
        <v>46113</v>
      </c>
      <c r="D4" s="134" t="inlineStr">
        <is>
          <t>Kelas Pelatihan &amp; Sertifikasi Asosiasi</t>
        </is>
      </c>
      <c r="E4" s="158">
        <f>IFERROR(IF(D4="","",VLOOKUP(D4,'MASTER DATA'!C5:D19,2,0)),"")</f>
        <v/>
      </c>
      <c r="F4" s="136" t="n">
        <v>3835000</v>
      </c>
      <c r="G4" s="136" t="n">
        <v>8</v>
      </c>
      <c r="H4" s="134" t="n"/>
      <c r="I4" s="159" t="n"/>
      <c r="J4" s="121" t="n"/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19.5" customHeight="1" s="122">
      <c r="A5" s="121" t="n"/>
      <c r="B5" s="143" t="n">
        <v>2</v>
      </c>
      <c r="C5" s="157" t="n">
        <v>46118</v>
      </c>
      <c r="D5" s="134" t="inlineStr">
        <is>
          <t>TES PROJECT</t>
        </is>
      </c>
      <c r="E5" s="160">
        <f>IFERROR(IF(D5="","",VLOOKUP(D5,'MASTER DATA'!C5:D19,2,0)),"")</f>
        <v/>
      </c>
      <c r="F5" s="136" t="n">
        <v>500000</v>
      </c>
      <c r="G5" s="136" t="n">
        <v>12</v>
      </c>
      <c r="H5" s="134" t="n"/>
      <c r="I5" s="159" t="n"/>
      <c r="J5" s="121" t="n"/>
      <c r="K5" s="121" t="n"/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19.5" customHeight="1" s="122">
      <c r="A6" s="121" t="n"/>
      <c r="B6" s="133" t="n">
        <v>3</v>
      </c>
      <c r="C6" s="157" t="n">
        <v>46117</v>
      </c>
      <c r="D6" s="134" t="inlineStr">
        <is>
          <t>TES PROJECT</t>
        </is>
      </c>
      <c r="E6" s="158">
        <f>IFERROR(IF(D6="","",VLOOKUP(D6,'MASTER DATA'!C5:D19,2,0)),"")</f>
        <v/>
      </c>
      <c r="F6" s="136" t="n">
        <v>200000</v>
      </c>
      <c r="G6" s="136" t="n">
        <v>4</v>
      </c>
      <c r="H6" s="134" t="n"/>
      <c r="I6" s="159" t="n"/>
      <c r="J6" s="121" t="n"/>
      <c r="K6" s="121" t="n"/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19.5" customHeight="1" s="122">
      <c r="A7" s="121" t="n"/>
      <c r="B7" s="143" t="n">
        <v>4</v>
      </c>
      <c r="C7" s="157" t="n"/>
      <c r="D7" s="134" t="n"/>
      <c r="E7" s="160">
        <f>IFERROR(IF(D7="","",VLOOKUP(D7,'MASTER DATA'!C5:D19,2,0)),"")</f>
        <v/>
      </c>
      <c r="F7" s="136" t="n"/>
      <c r="G7" s="136" t="n"/>
      <c r="H7" s="134" t="n"/>
      <c r="I7" s="159" t="n"/>
      <c r="J7" s="121" t="n"/>
      <c r="K7" s="121" t="n"/>
      <c r="L7" s="121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19.5" customHeight="1" s="122">
      <c r="A8" s="121" t="n"/>
      <c r="B8" s="133" t="n">
        <v>5</v>
      </c>
      <c r="C8" s="157" t="n"/>
      <c r="D8" s="134" t="n"/>
      <c r="E8" s="158">
        <f>IFERROR(IF(D8="","",VLOOKUP(D8,'MASTER DATA'!C5:D19,2,0)),"")</f>
        <v/>
      </c>
      <c r="F8" s="136" t="n"/>
      <c r="G8" s="136" t="n"/>
      <c r="H8" s="134" t="n"/>
      <c r="I8" s="159" t="n"/>
      <c r="J8" s="121" t="n"/>
      <c r="K8" s="121" t="n"/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19.5" customHeight="1" s="122">
      <c r="A9" s="121" t="n"/>
      <c r="B9" s="143" t="n">
        <v>6</v>
      </c>
      <c r="C9" s="157" t="n"/>
      <c r="D9" s="134" t="n"/>
      <c r="E9" s="160">
        <f>IFERROR(IF(D9="","",VLOOKUP(D9,'MASTER DATA'!C5:D19,2,0)),"")</f>
        <v/>
      </c>
      <c r="F9" s="136" t="n"/>
      <c r="G9" s="136" t="n"/>
      <c r="H9" s="134" t="n"/>
      <c r="I9" s="159" t="n"/>
      <c r="J9" s="121" t="n"/>
      <c r="K9" s="121" t="n"/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19.5" customHeight="1" s="122">
      <c r="A10" s="121" t="n"/>
      <c r="B10" s="133" t="n">
        <v>7</v>
      </c>
      <c r="C10" s="157" t="n"/>
      <c r="D10" s="134" t="n"/>
      <c r="E10" s="158">
        <f>IFERROR(IF(D10="","",VLOOKUP(D10,'MASTER DATA'!C5:D19,2,0)),"")</f>
        <v/>
      </c>
      <c r="F10" s="136" t="n"/>
      <c r="G10" s="136" t="n"/>
      <c r="H10" s="134" t="n"/>
      <c r="I10" s="159" t="n"/>
      <c r="J10" s="121" t="n"/>
      <c r="K10" s="121" t="n"/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19.5" customHeight="1" s="122">
      <c r="A11" s="121" t="n"/>
      <c r="B11" s="143" t="n">
        <v>8</v>
      </c>
      <c r="C11" s="157" t="n"/>
      <c r="D11" s="134" t="n"/>
      <c r="E11" s="160">
        <f>IFERROR(IF(D11="","",VLOOKUP(D11,'MASTER DATA'!C5:D19,2,0)),"")</f>
        <v/>
      </c>
      <c r="F11" s="136" t="n"/>
      <c r="G11" s="136" t="n"/>
      <c r="H11" s="134" t="n"/>
      <c r="I11" s="159" t="n"/>
      <c r="J11" s="121" t="n"/>
      <c r="K11" s="121" t="n"/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19.5" customHeight="1" s="122">
      <c r="A12" s="121" t="n"/>
      <c r="B12" s="133" t="n">
        <v>9</v>
      </c>
      <c r="C12" s="157" t="n"/>
      <c r="D12" s="134" t="n"/>
      <c r="E12" s="158">
        <f>IFERROR(IF(D12="","",VLOOKUP(D12,'MASTER DATA'!C5:D19,2,0)),"")</f>
        <v/>
      </c>
      <c r="F12" s="136" t="n"/>
      <c r="G12" s="136" t="n"/>
      <c r="H12" s="134" t="n"/>
      <c r="I12" s="159" t="n"/>
      <c r="J12" s="121" t="n"/>
      <c r="K12" s="121" t="n"/>
      <c r="L12" s="121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19.5" customHeight="1" s="122">
      <c r="A13" s="121" t="n"/>
      <c r="B13" s="143" t="n">
        <v>10</v>
      </c>
      <c r="C13" s="157" t="n"/>
      <c r="D13" s="134" t="n"/>
      <c r="E13" s="160">
        <f>IFERROR(IF(D13="","",VLOOKUP(D13,'MASTER DATA'!C5:D19,2,0)),"")</f>
        <v/>
      </c>
      <c r="F13" s="136" t="n"/>
      <c r="G13" s="136" t="n"/>
      <c r="H13" s="134" t="n"/>
      <c r="I13" s="159" t="n"/>
      <c r="J13" s="121" t="n"/>
      <c r="K13" s="121" t="n"/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19.5" customHeight="1" s="122">
      <c r="A14" s="121" t="n"/>
      <c r="B14" s="133" t="n">
        <v>11</v>
      </c>
      <c r="C14" s="157" t="n"/>
      <c r="D14" s="134" t="n"/>
      <c r="E14" s="158">
        <f>IFERROR(IF(D14="","",VLOOKUP(D14,'MASTER DATA'!C5:D19,2,0)),"")</f>
        <v/>
      </c>
      <c r="F14" s="136" t="n"/>
      <c r="G14" s="136" t="n"/>
      <c r="H14" s="134" t="n"/>
      <c r="I14" s="159" t="n"/>
      <c r="J14" s="121" t="n"/>
      <c r="K14" s="121" t="n"/>
      <c r="L14" s="121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19.5" customHeight="1" s="122">
      <c r="A15" s="121" t="n"/>
      <c r="B15" s="143" t="n">
        <v>12</v>
      </c>
      <c r="C15" s="157" t="n"/>
      <c r="D15" s="134" t="n"/>
      <c r="E15" s="160">
        <f>IFERROR(IF(D15="","",VLOOKUP(D15,'MASTER DATA'!C5:D19,2,0)),"")</f>
        <v/>
      </c>
      <c r="F15" s="136" t="n"/>
      <c r="G15" s="136" t="n"/>
      <c r="H15" s="134" t="n"/>
      <c r="I15" s="159" t="n"/>
      <c r="J15" s="121" t="n"/>
      <c r="K15" s="121" t="n"/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19.5" customHeight="1" s="122">
      <c r="A16" s="121" t="n"/>
      <c r="B16" s="133" t="n">
        <v>13</v>
      </c>
      <c r="C16" s="157" t="n"/>
      <c r="D16" s="134" t="n"/>
      <c r="E16" s="158">
        <f>IFERROR(IF(D16="","",VLOOKUP(D16,'MASTER DATA'!C5:D19,2,0)),"")</f>
        <v/>
      </c>
      <c r="F16" s="136" t="n"/>
      <c r="G16" s="136" t="n"/>
      <c r="H16" s="134" t="n"/>
      <c r="I16" s="159" t="n"/>
      <c r="J16" s="121" t="n"/>
      <c r="K16" s="121" t="n"/>
      <c r="L16" s="121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19.5" customHeight="1" s="122">
      <c r="A17" s="121" t="n"/>
      <c r="B17" s="143" t="n">
        <v>14</v>
      </c>
      <c r="C17" s="157" t="n"/>
      <c r="D17" s="134" t="n"/>
      <c r="E17" s="160">
        <f>IFERROR(IF(D17="","",VLOOKUP(D17,'MASTER DATA'!C5:D19,2,0)),"")</f>
        <v/>
      </c>
      <c r="F17" s="136" t="n"/>
      <c r="G17" s="136" t="n"/>
      <c r="H17" s="134" t="n"/>
      <c r="I17" s="159" t="n"/>
      <c r="J17" s="121" t="n"/>
      <c r="K17" s="121" t="n"/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19.5" customHeight="1" s="122">
      <c r="A18" s="121" t="n"/>
      <c r="B18" s="133" t="n">
        <v>15</v>
      </c>
      <c r="C18" s="157" t="n"/>
      <c r="D18" s="134" t="n"/>
      <c r="E18" s="158">
        <f>IFERROR(IF(D18="","",VLOOKUP(D18,'MASTER DATA'!C5:D19,2,0)),"")</f>
        <v/>
      </c>
      <c r="F18" s="136" t="n"/>
      <c r="G18" s="136" t="n"/>
      <c r="H18" s="134" t="n"/>
      <c r="I18" s="159" t="n"/>
      <c r="J18" s="121" t="n"/>
      <c r="K18" s="121" t="n"/>
      <c r="L18" s="121" t="n"/>
      <c r="M18" s="121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19.5" customHeight="1" s="122">
      <c r="A19" s="121" t="n"/>
      <c r="B19" s="143" t="n">
        <v>16</v>
      </c>
      <c r="C19" s="157" t="n"/>
      <c r="D19" s="134" t="n"/>
      <c r="E19" s="160">
        <f>IFERROR(IF(D19="","",VLOOKUP(D19,'MASTER DATA'!C5:D19,2,0)),"")</f>
        <v/>
      </c>
      <c r="F19" s="136" t="n"/>
      <c r="G19" s="136" t="n"/>
      <c r="H19" s="134" t="n"/>
      <c r="I19" s="159" t="n"/>
      <c r="J19" s="121" t="n"/>
      <c r="K19" s="121" t="n"/>
      <c r="L19" s="121" t="n"/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19.5" customHeight="1" s="122">
      <c r="A20" s="121" t="n"/>
      <c r="B20" s="133" t="n">
        <v>17</v>
      </c>
      <c r="C20" s="157" t="n"/>
      <c r="D20" s="134" t="n"/>
      <c r="E20" s="158">
        <f>IFERROR(IF(D20="","",VLOOKUP(D20,'MASTER DATA'!C5:D19,2,0)),"")</f>
        <v/>
      </c>
      <c r="F20" s="136" t="n"/>
      <c r="G20" s="136" t="n"/>
      <c r="H20" s="134" t="n"/>
      <c r="I20" s="159" t="n"/>
      <c r="J20" s="121" t="n"/>
      <c r="K20" s="121" t="n"/>
      <c r="L20" s="121" t="n"/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19.5" customHeight="1" s="122">
      <c r="A21" s="121" t="n"/>
      <c r="B21" s="143" t="n">
        <v>18</v>
      </c>
      <c r="C21" s="157" t="n"/>
      <c r="D21" s="134" t="n"/>
      <c r="E21" s="160">
        <f>IFERROR(IF(D21="","",VLOOKUP(D21,'MASTER DATA'!C5:D19,2,0)),"")</f>
        <v/>
      </c>
      <c r="F21" s="136" t="n"/>
      <c r="G21" s="136" t="n"/>
      <c r="H21" s="134" t="n"/>
      <c r="I21" s="159" t="n"/>
      <c r="J21" s="121" t="n"/>
      <c r="K21" s="121" t="n"/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19.5" customHeight="1" s="122">
      <c r="A22" s="121" t="n"/>
      <c r="B22" s="133" t="n">
        <v>19</v>
      </c>
      <c r="C22" s="157" t="n"/>
      <c r="D22" s="134" t="n"/>
      <c r="E22" s="158">
        <f>IFERROR(IF(D22="","",VLOOKUP(D22,'MASTER DATA'!C5:D19,2,0)),"")</f>
        <v/>
      </c>
      <c r="F22" s="136" t="n"/>
      <c r="G22" s="136" t="n"/>
      <c r="H22" s="134" t="n"/>
      <c r="I22" s="159" t="n"/>
      <c r="J22" s="121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19.5" customHeight="1" s="122">
      <c r="A23" s="121" t="n"/>
      <c r="B23" s="143" t="n">
        <v>20</v>
      </c>
      <c r="C23" s="157" t="n"/>
      <c r="D23" s="134" t="n"/>
      <c r="E23" s="160">
        <f>IFERROR(IF(D23="","",VLOOKUP(D23,'MASTER DATA'!C5:D19,2,0)),"")</f>
        <v/>
      </c>
      <c r="F23" s="136" t="n"/>
      <c r="G23" s="136" t="n"/>
      <c r="H23" s="134" t="n"/>
      <c r="I23" s="159" t="n"/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19.5" customHeight="1" s="122">
      <c r="A24" s="121" t="n"/>
      <c r="B24" s="133" t="n">
        <v>21</v>
      </c>
      <c r="C24" s="157" t="n"/>
      <c r="D24" s="134" t="n"/>
      <c r="E24" s="158">
        <f>IFERROR(IF(D24="","",VLOOKUP(D24,'MASTER DATA'!C5:D19,2,0)),"")</f>
        <v/>
      </c>
      <c r="F24" s="136" t="n"/>
      <c r="G24" s="136" t="n"/>
      <c r="H24" s="134" t="n"/>
      <c r="I24" s="159" t="n"/>
      <c r="J24" s="121" t="n"/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19.5" customHeight="1" s="122">
      <c r="A25" s="121" t="n"/>
      <c r="B25" s="143" t="n">
        <v>22</v>
      </c>
      <c r="C25" s="157" t="n"/>
      <c r="D25" s="134" t="n"/>
      <c r="E25" s="160">
        <f>IFERROR(IF(D25="","",VLOOKUP(D25,'MASTER DATA'!C5:D19,2,0)),"")</f>
        <v/>
      </c>
      <c r="F25" s="136" t="n"/>
      <c r="G25" s="136" t="n"/>
      <c r="H25" s="134" t="n"/>
      <c r="I25" s="159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19.5" customHeight="1" s="122">
      <c r="A26" s="121" t="n"/>
      <c r="B26" s="133" t="n">
        <v>23</v>
      </c>
      <c r="C26" s="157" t="n"/>
      <c r="D26" s="134" t="n"/>
      <c r="E26" s="158">
        <f>IFERROR(IF(D26="","",VLOOKUP(D26,'MASTER DATA'!C5:D19,2,0)),"")</f>
        <v/>
      </c>
      <c r="F26" s="136" t="n"/>
      <c r="G26" s="136" t="n"/>
      <c r="H26" s="134" t="n"/>
      <c r="I26" s="159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19.5" customHeight="1" s="122">
      <c r="A27" s="121" t="n"/>
      <c r="B27" s="143" t="n">
        <v>24</v>
      </c>
      <c r="C27" s="157" t="n"/>
      <c r="D27" s="134" t="n"/>
      <c r="E27" s="160">
        <f>IFERROR(IF(D27="","",VLOOKUP(D27,'MASTER DATA'!C5:D19,2,0)),"")</f>
        <v/>
      </c>
      <c r="F27" s="136" t="n"/>
      <c r="G27" s="136" t="n"/>
      <c r="H27" s="134" t="n"/>
      <c r="I27" s="159" t="n"/>
      <c r="J27" s="121" t="n"/>
      <c r="K27" s="121" t="n"/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19.5" customHeight="1" s="122">
      <c r="A28" s="121" t="n"/>
      <c r="B28" s="133" t="n">
        <v>25</v>
      </c>
      <c r="C28" s="157" t="n"/>
      <c r="D28" s="134" t="n"/>
      <c r="E28" s="158">
        <f>IFERROR(IF(D28="","",VLOOKUP(D28,'MASTER DATA'!C5:D19,2,0)),"")</f>
        <v/>
      </c>
      <c r="F28" s="136" t="n"/>
      <c r="G28" s="136" t="n"/>
      <c r="H28" s="134" t="n"/>
      <c r="I28" s="159" t="n"/>
      <c r="J28" s="121" t="n"/>
      <c r="K28" s="121" t="n"/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19.5" customHeight="1" s="122">
      <c r="A29" s="121" t="n"/>
      <c r="B29" s="143" t="n">
        <v>26</v>
      </c>
      <c r="C29" s="157" t="n"/>
      <c r="D29" s="134" t="n"/>
      <c r="E29" s="160">
        <f>IFERROR(IF(D29="","",VLOOKUP(D29,'MASTER DATA'!C5:D19,2,0)),"")</f>
        <v/>
      </c>
      <c r="F29" s="136" t="n"/>
      <c r="G29" s="136" t="n"/>
      <c r="H29" s="134" t="n"/>
      <c r="I29" s="159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19.5" customHeight="1" s="122">
      <c r="A30" s="121" t="n"/>
      <c r="B30" s="133" t="n">
        <v>27</v>
      </c>
      <c r="C30" s="157" t="n"/>
      <c r="D30" s="134" t="n"/>
      <c r="E30" s="158">
        <f>IFERROR(IF(D30="","",VLOOKUP(D30,'MASTER DATA'!C5:D19,2,0)),"")</f>
        <v/>
      </c>
      <c r="F30" s="136" t="n"/>
      <c r="G30" s="136" t="n"/>
      <c r="H30" s="134" t="n"/>
      <c r="I30" s="159" t="n"/>
      <c r="J30" s="121" t="n"/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19.5" customHeight="1" s="122">
      <c r="A31" s="121" t="n"/>
      <c r="B31" s="143" t="n">
        <v>28</v>
      </c>
      <c r="C31" s="157" t="n"/>
      <c r="D31" s="134" t="n"/>
      <c r="E31" s="160">
        <f>IFERROR(IF(D31="","",VLOOKUP(D31,'MASTER DATA'!C5:D19,2,0)),"")</f>
        <v/>
      </c>
      <c r="F31" s="136" t="n"/>
      <c r="G31" s="136" t="n"/>
      <c r="H31" s="134" t="n"/>
      <c r="I31" s="159" t="n"/>
      <c r="J31" s="121" t="n"/>
      <c r="K31" s="121" t="n"/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19.5" customHeight="1" s="122">
      <c r="A32" s="121" t="n"/>
      <c r="B32" s="133" t="n">
        <v>29</v>
      </c>
      <c r="C32" s="157" t="n"/>
      <c r="D32" s="134" t="n"/>
      <c r="E32" s="158">
        <f>IFERROR(IF(D32="","",VLOOKUP(D32,'MASTER DATA'!C5:D19,2,0)),"")</f>
        <v/>
      </c>
      <c r="F32" s="136" t="n"/>
      <c r="G32" s="136" t="n"/>
      <c r="H32" s="134" t="n"/>
      <c r="I32" s="159" t="n"/>
      <c r="J32" s="121" t="n"/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19.5" customHeight="1" s="122">
      <c r="A33" s="121" t="n"/>
      <c r="B33" s="143" t="n">
        <v>30</v>
      </c>
      <c r="C33" s="157" t="n"/>
      <c r="D33" s="134" t="n"/>
      <c r="E33" s="160">
        <f>IFERROR(IF(D33="","",VLOOKUP(D33,'MASTER DATA'!C5:D19,2,0)),"")</f>
        <v/>
      </c>
      <c r="F33" s="136" t="n"/>
      <c r="G33" s="136" t="n"/>
      <c r="H33" s="134" t="n"/>
      <c r="I33" s="159" t="n"/>
      <c r="J33" s="121" t="n"/>
      <c r="K33" s="121" t="n"/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19.5" customHeight="1" s="122">
      <c r="A34" s="121" t="n"/>
      <c r="B34" s="133" t="n">
        <v>31</v>
      </c>
      <c r="C34" s="157" t="n"/>
      <c r="D34" s="134" t="n"/>
      <c r="E34" s="158">
        <f>IFERROR(IF(D34="","",VLOOKUP(D34,'MASTER DATA'!C5:D19,2,0)),"")</f>
        <v/>
      </c>
      <c r="F34" s="136" t="n"/>
      <c r="G34" s="136" t="n"/>
      <c r="H34" s="134" t="n"/>
      <c r="I34" s="159" t="n"/>
      <c r="J34" s="121" t="n"/>
      <c r="K34" s="121" t="n"/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19.5" customHeight="1" s="122">
      <c r="A35" s="121" t="n"/>
      <c r="B35" s="143" t="n">
        <v>32</v>
      </c>
      <c r="C35" s="157" t="n"/>
      <c r="D35" s="134" t="n"/>
      <c r="E35" s="160">
        <f>IFERROR(IF(D35="","",VLOOKUP(D35,'MASTER DATA'!C5:D19,2,0)),"")</f>
        <v/>
      </c>
      <c r="F35" s="136" t="n"/>
      <c r="G35" s="136" t="n"/>
      <c r="H35" s="134" t="n"/>
      <c r="I35" s="159" t="n"/>
      <c r="J35" s="121" t="n"/>
      <c r="K35" s="121" t="n"/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19.5" customHeight="1" s="122">
      <c r="A36" s="121" t="n"/>
      <c r="B36" s="133" t="n">
        <v>33</v>
      </c>
      <c r="C36" s="157" t="n"/>
      <c r="D36" s="134" t="n"/>
      <c r="E36" s="158">
        <f>IFERROR(IF(D36="","",VLOOKUP(D36,'MASTER DATA'!C5:D19,2,0)),"")</f>
        <v/>
      </c>
      <c r="F36" s="136" t="n"/>
      <c r="G36" s="136" t="n"/>
      <c r="H36" s="134" t="n"/>
      <c r="I36" s="159" t="n"/>
      <c r="J36" s="121" t="n"/>
      <c r="K36" s="121" t="n"/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19.5" customHeight="1" s="122">
      <c r="A37" s="121" t="n"/>
      <c r="B37" s="143" t="n">
        <v>34</v>
      </c>
      <c r="C37" s="157" t="n"/>
      <c r="D37" s="134" t="n"/>
      <c r="E37" s="160">
        <f>IFERROR(IF(D37="","",VLOOKUP(D37,'MASTER DATA'!C5:D19,2,0)),"")</f>
        <v/>
      </c>
      <c r="F37" s="136" t="n"/>
      <c r="G37" s="136" t="n"/>
      <c r="H37" s="134" t="n"/>
      <c r="I37" s="159" t="n"/>
      <c r="J37" s="121" t="n"/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19.5" customHeight="1" s="122">
      <c r="A38" s="121" t="n"/>
      <c r="B38" s="133" t="n">
        <v>35</v>
      </c>
      <c r="C38" s="157" t="n"/>
      <c r="D38" s="134" t="n"/>
      <c r="E38" s="158">
        <f>IFERROR(IF(D38="","",VLOOKUP(D38,'MASTER DATA'!C5:D19,2,0)),"")</f>
        <v/>
      </c>
      <c r="F38" s="136" t="n"/>
      <c r="G38" s="136" t="n"/>
      <c r="H38" s="134" t="n"/>
      <c r="I38" s="159" t="n"/>
      <c r="J38" s="121" t="n"/>
      <c r="K38" s="121" t="n"/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19.5" customHeight="1" s="122">
      <c r="A39" s="121" t="n"/>
      <c r="B39" s="143" t="n">
        <v>36</v>
      </c>
      <c r="C39" s="157" t="n"/>
      <c r="D39" s="134" t="n"/>
      <c r="E39" s="160">
        <f>IFERROR(IF(D39="","",VLOOKUP(D39,'MASTER DATA'!C5:D19,2,0)),"")</f>
        <v/>
      </c>
      <c r="F39" s="136" t="n"/>
      <c r="G39" s="136" t="n"/>
      <c r="H39" s="134" t="n"/>
      <c r="I39" s="159" t="n"/>
      <c r="J39" s="12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9.5" customHeight="1" s="122">
      <c r="A40" s="121" t="n"/>
      <c r="B40" s="133" t="n">
        <v>37</v>
      </c>
      <c r="C40" s="157" t="n"/>
      <c r="D40" s="134" t="n"/>
      <c r="E40" s="158">
        <f>IFERROR(IF(D40="","",VLOOKUP(D40,'MASTER DATA'!C5:D19,2,0)),"")</f>
        <v/>
      </c>
      <c r="F40" s="136" t="n"/>
      <c r="G40" s="136" t="n"/>
      <c r="H40" s="134" t="n"/>
      <c r="I40" s="159" t="n"/>
      <c r="J40" s="121" t="n"/>
      <c r="K40" s="121" t="n"/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9.5" customHeight="1" s="122">
      <c r="A41" s="121" t="n"/>
      <c r="B41" s="143" t="n">
        <v>38</v>
      </c>
      <c r="C41" s="157" t="n"/>
      <c r="D41" s="134" t="n"/>
      <c r="E41" s="160">
        <f>IFERROR(IF(D41="","",VLOOKUP(D41,'MASTER DATA'!C5:D19,2,0)),"")</f>
        <v/>
      </c>
      <c r="F41" s="136" t="n"/>
      <c r="G41" s="136" t="n"/>
      <c r="H41" s="134" t="n"/>
      <c r="I41" s="159" t="n"/>
      <c r="J41" s="121" t="n"/>
      <c r="K41" s="121" t="n"/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9.5" customHeight="1" s="122">
      <c r="A42" s="121" t="n"/>
      <c r="B42" s="133" t="n">
        <v>39</v>
      </c>
      <c r="C42" s="157" t="n"/>
      <c r="D42" s="134" t="n"/>
      <c r="E42" s="158">
        <f>IFERROR(IF(D42="","",VLOOKUP(D42,'MASTER DATA'!C5:D19,2,0)),"")</f>
        <v/>
      </c>
      <c r="F42" s="136" t="n"/>
      <c r="G42" s="136" t="n"/>
      <c r="H42" s="134" t="n"/>
      <c r="I42" s="159" t="n"/>
      <c r="J42" s="121" t="n"/>
      <c r="K42" s="121" t="n"/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9.5" customHeight="1" s="122">
      <c r="A43" s="121" t="n"/>
      <c r="B43" s="143" t="n">
        <v>40</v>
      </c>
      <c r="C43" s="157" t="n"/>
      <c r="D43" s="134" t="n"/>
      <c r="E43" s="160">
        <f>IFERROR(IF(D43="","",VLOOKUP(D43,'MASTER DATA'!C5:D19,2,0)),"")</f>
        <v/>
      </c>
      <c r="F43" s="136" t="n"/>
      <c r="G43" s="136" t="n"/>
      <c r="H43" s="134" t="n"/>
      <c r="I43" s="159" t="n"/>
      <c r="J43" s="121" t="n"/>
      <c r="K43" s="121" t="n"/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9.5" customHeight="1" s="122">
      <c r="A44" s="121" t="n"/>
      <c r="B44" s="133" t="n">
        <v>41</v>
      </c>
      <c r="C44" s="157" t="n"/>
      <c r="D44" s="134" t="n"/>
      <c r="E44" s="158">
        <f>IFERROR(IF(D44="","",VLOOKUP(D44,'MASTER DATA'!C5:D19,2,0)),"")</f>
        <v/>
      </c>
      <c r="F44" s="136" t="n"/>
      <c r="G44" s="136" t="n"/>
      <c r="H44" s="134" t="n"/>
      <c r="I44" s="159" t="n"/>
      <c r="J44" s="121" t="n"/>
      <c r="K44" s="121" t="n"/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9.5" customHeight="1" s="122">
      <c r="A45" s="121" t="n"/>
      <c r="B45" s="143" t="n">
        <v>42</v>
      </c>
      <c r="C45" s="157" t="n"/>
      <c r="D45" s="134" t="n"/>
      <c r="E45" s="160">
        <f>IFERROR(IF(D45="","",VLOOKUP(D45,'MASTER DATA'!C5:D19,2,0)),"")</f>
        <v/>
      </c>
      <c r="F45" s="136" t="n"/>
      <c r="G45" s="136" t="n"/>
      <c r="H45" s="134" t="n"/>
      <c r="I45" s="159" t="n"/>
      <c r="J45" s="121" t="n"/>
      <c r="K45" s="121" t="n"/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9.5" customHeight="1" s="122">
      <c r="A46" s="121" t="n"/>
      <c r="B46" s="133" t="n">
        <v>43</v>
      </c>
      <c r="C46" s="157" t="n"/>
      <c r="D46" s="134" t="n"/>
      <c r="E46" s="158">
        <f>IFERROR(IF(D46="","",VLOOKUP(D46,'MASTER DATA'!C5:D19,2,0)),"")</f>
        <v/>
      </c>
      <c r="F46" s="136" t="n"/>
      <c r="G46" s="136" t="n"/>
      <c r="H46" s="134" t="n"/>
      <c r="I46" s="159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9.5" customHeight="1" s="122">
      <c r="A47" s="121" t="n"/>
      <c r="B47" s="143" t="n">
        <v>44</v>
      </c>
      <c r="C47" s="157" t="n"/>
      <c r="D47" s="134" t="n"/>
      <c r="E47" s="160">
        <f>IFERROR(IF(D47="","",VLOOKUP(D47,'MASTER DATA'!C5:D19,2,0)),"")</f>
        <v/>
      </c>
      <c r="F47" s="136" t="n"/>
      <c r="G47" s="136" t="n"/>
      <c r="H47" s="134" t="n"/>
      <c r="I47" s="159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9.5" customHeight="1" s="122">
      <c r="A48" s="121" t="n"/>
      <c r="B48" s="133" t="n">
        <v>45</v>
      </c>
      <c r="C48" s="157" t="n"/>
      <c r="D48" s="134" t="n"/>
      <c r="E48" s="158">
        <f>IFERROR(IF(D48="","",VLOOKUP(D48,'MASTER DATA'!C5:D19,2,0)),"")</f>
        <v/>
      </c>
      <c r="F48" s="136" t="n"/>
      <c r="G48" s="136" t="n"/>
      <c r="H48" s="134" t="n"/>
      <c r="I48" s="159" t="n"/>
      <c r="J48" s="121" t="n"/>
      <c r="K48" s="121" t="n"/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9.5" customHeight="1" s="122">
      <c r="A49" s="121" t="n"/>
      <c r="B49" s="143" t="n">
        <v>46</v>
      </c>
      <c r="C49" s="157" t="n"/>
      <c r="D49" s="134" t="n"/>
      <c r="E49" s="160">
        <f>IFERROR(IF(D49="","",VLOOKUP(D49,'MASTER DATA'!C5:D19,2,0)),"")</f>
        <v/>
      </c>
      <c r="F49" s="136" t="n"/>
      <c r="G49" s="136" t="n"/>
      <c r="H49" s="134" t="n"/>
      <c r="I49" s="159" t="n"/>
      <c r="J49" s="121" t="n"/>
      <c r="K49" s="121" t="n"/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9.5" customHeight="1" s="122">
      <c r="A50" s="121" t="n"/>
      <c r="B50" s="133" t="n">
        <v>47</v>
      </c>
      <c r="C50" s="157" t="n"/>
      <c r="D50" s="134" t="n"/>
      <c r="E50" s="158">
        <f>IFERROR(IF(D50="","",VLOOKUP(D50,'MASTER DATA'!C5:D19,2,0)),"")</f>
        <v/>
      </c>
      <c r="F50" s="136" t="n"/>
      <c r="G50" s="136" t="n"/>
      <c r="H50" s="134" t="n"/>
      <c r="I50" s="159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9.5" customHeight="1" s="122">
      <c r="A51" s="121" t="n"/>
      <c r="B51" s="143" t="n">
        <v>48</v>
      </c>
      <c r="C51" s="157" t="n"/>
      <c r="D51" s="134" t="n"/>
      <c r="E51" s="160">
        <f>IFERROR(IF(D51="","",VLOOKUP(D51,'MASTER DATA'!C5:D19,2,0)),"")</f>
        <v/>
      </c>
      <c r="F51" s="136" t="n"/>
      <c r="G51" s="136" t="n"/>
      <c r="H51" s="134" t="n"/>
      <c r="I51" s="159" t="n"/>
      <c r="J51" s="121" t="n"/>
      <c r="K51" s="121" t="n"/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9.5" customHeight="1" s="122">
      <c r="A52" s="121" t="n"/>
      <c r="B52" s="133" t="n">
        <v>49</v>
      </c>
      <c r="C52" s="157" t="n"/>
      <c r="D52" s="134" t="n"/>
      <c r="E52" s="158">
        <f>IFERROR(IF(D52="","",VLOOKUP(D52,'MASTER DATA'!C5:D19,2,0)),"")</f>
        <v/>
      </c>
      <c r="F52" s="136" t="n"/>
      <c r="G52" s="136" t="n"/>
      <c r="H52" s="134" t="n"/>
      <c r="I52" s="159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9.5" customHeight="1" s="122">
      <c r="A53" s="121" t="n"/>
      <c r="B53" s="143" t="n">
        <v>50</v>
      </c>
      <c r="C53" s="157" t="n"/>
      <c r="D53" s="134" t="n"/>
      <c r="E53" s="160">
        <f>IFERROR(IF(D53="","",VLOOKUP(D53,'MASTER DATA'!C5:D19,2,0)),"")</f>
        <v/>
      </c>
      <c r="F53" s="136" t="n"/>
      <c r="G53" s="136" t="n"/>
      <c r="H53" s="134" t="n"/>
      <c r="I53" s="159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9.5" customHeight="1" s="122">
      <c r="A54" s="121" t="n"/>
      <c r="B54" s="133" t="n">
        <v>51</v>
      </c>
      <c r="C54" s="157" t="n"/>
      <c r="D54" s="134" t="n"/>
      <c r="E54" s="158">
        <f>IFERROR(IF(D54="","",VLOOKUP(D54,'MASTER DATA'!C5:D19,2,0)),"")</f>
        <v/>
      </c>
      <c r="F54" s="136" t="n"/>
      <c r="G54" s="136" t="n"/>
      <c r="H54" s="134" t="n"/>
      <c r="I54" s="159" t="n"/>
      <c r="J54" s="121" t="n"/>
      <c r="K54" s="121" t="n"/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9.5" customHeight="1" s="122">
      <c r="A55" s="121" t="n"/>
      <c r="B55" s="143" t="n">
        <v>52</v>
      </c>
      <c r="C55" s="157" t="n"/>
      <c r="D55" s="134" t="n"/>
      <c r="E55" s="160">
        <f>IFERROR(IF(D55="","",VLOOKUP(D55,'MASTER DATA'!C5:D19,2,0)),"")</f>
        <v/>
      </c>
      <c r="F55" s="136" t="n"/>
      <c r="G55" s="136" t="n"/>
      <c r="H55" s="134" t="n"/>
      <c r="I55" s="159" t="n"/>
      <c r="J55" s="121" t="n"/>
      <c r="K55" s="121" t="n"/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9.5" customHeight="1" s="122">
      <c r="A56" s="121" t="n"/>
      <c r="B56" s="133" t="n">
        <v>53</v>
      </c>
      <c r="C56" s="157" t="n"/>
      <c r="D56" s="134" t="n"/>
      <c r="E56" s="158">
        <f>IFERROR(IF(D56="","",VLOOKUP(D56,'MASTER DATA'!C5:D19,2,0)),"")</f>
        <v/>
      </c>
      <c r="F56" s="136" t="n"/>
      <c r="G56" s="136" t="n"/>
      <c r="H56" s="134" t="n"/>
      <c r="I56" s="159" t="n"/>
      <c r="J56" s="121" t="n"/>
      <c r="K56" s="121" t="n"/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9.5" customHeight="1" s="122">
      <c r="A57" s="121" t="n"/>
      <c r="B57" s="143" t="n">
        <v>54</v>
      </c>
      <c r="C57" s="157" t="n"/>
      <c r="D57" s="134" t="n"/>
      <c r="E57" s="160">
        <f>IFERROR(IF(D57="","",VLOOKUP(D57,'MASTER DATA'!C5:D19,2,0)),"")</f>
        <v/>
      </c>
      <c r="F57" s="136" t="n"/>
      <c r="G57" s="136" t="n"/>
      <c r="H57" s="134" t="n"/>
      <c r="I57" s="159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9.5" customHeight="1" s="122">
      <c r="A58" s="121" t="n"/>
      <c r="B58" s="133" t="n">
        <v>55</v>
      </c>
      <c r="C58" s="157" t="n"/>
      <c r="D58" s="134" t="n"/>
      <c r="E58" s="158">
        <f>IFERROR(IF(D58="","",VLOOKUP(D58,'MASTER DATA'!C5:D19,2,0)),"")</f>
        <v/>
      </c>
      <c r="F58" s="136" t="n"/>
      <c r="G58" s="136" t="n"/>
      <c r="H58" s="134" t="n"/>
      <c r="I58" s="159" t="n"/>
      <c r="J58" s="121" t="n"/>
      <c r="K58" s="121" t="n"/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9.5" customHeight="1" s="122">
      <c r="A59" s="121" t="n"/>
      <c r="B59" s="143" t="n">
        <v>56</v>
      </c>
      <c r="C59" s="157" t="n"/>
      <c r="D59" s="134" t="n"/>
      <c r="E59" s="160">
        <f>IFERROR(IF(D59="","",VLOOKUP(D59,'MASTER DATA'!C5:D19,2,0)),"")</f>
        <v/>
      </c>
      <c r="F59" s="136" t="n"/>
      <c r="G59" s="136" t="n"/>
      <c r="H59" s="134" t="n"/>
      <c r="I59" s="159" t="n"/>
      <c r="J59" s="121" t="n"/>
      <c r="K59" s="121" t="n"/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9.5" customHeight="1" s="122">
      <c r="A60" s="121" t="n"/>
      <c r="B60" s="133" t="n">
        <v>57</v>
      </c>
      <c r="C60" s="157" t="n"/>
      <c r="D60" s="134" t="n"/>
      <c r="E60" s="158">
        <f>IFERROR(IF(D60="","",VLOOKUP(D60,'MASTER DATA'!C5:D19,2,0)),"")</f>
        <v/>
      </c>
      <c r="F60" s="136" t="n"/>
      <c r="G60" s="136" t="n"/>
      <c r="H60" s="134" t="n"/>
      <c r="I60" s="159" t="n"/>
      <c r="J60" s="121" t="n"/>
      <c r="K60" s="121" t="n"/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9.5" customHeight="1" s="122">
      <c r="A61" s="121" t="n"/>
      <c r="B61" s="143" t="n">
        <v>58</v>
      </c>
      <c r="C61" s="157" t="n"/>
      <c r="D61" s="134" t="n"/>
      <c r="E61" s="160">
        <f>IFERROR(IF(D61="","",VLOOKUP(D61,'MASTER DATA'!C5:D19,2,0)),"")</f>
        <v/>
      </c>
      <c r="F61" s="136" t="n"/>
      <c r="G61" s="136" t="n"/>
      <c r="H61" s="134" t="n"/>
      <c r="I61" s="159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9.5" customHeight="1" s="122">
      <c r="A62" s="121" t="n"/>
      <c r="B62" s="133" t="n">
        <v>59</v>
      </c>
      <c r="C62" s="157" t="n"/>
      <c r="D62" s="134" t="n"/>
      <c r="E62" s="158">
        <f>IFERROR(IF(D62="","",VLOOKUP(D62,'MASTER DATA'!C5:D19,2,0)),"")</f>
        <v/>
      </c>
      <c r="F62" s="136" t="n"/>
      <c r="G62" s="136" t="n"/>
      <c r="H62" s="134" t="n"/>
      <c r="I62" s="159" t="n"/>
      <c r="J62" s="121" t="n"/>
      <c r="K62" s="121" t="n"/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9.5" customHeight="1" s="122">
      <c r="A63" s="121" t="n"/>
      <c r="B63" s="143" t="n">
        <v>60</v>
      </c>
      <c r="C63" s="157" t="n"/>
      <c r="D63" s="134" t="n"/>
      <c r="E63" s="160">
        <f>IFERROR(IF(D63="","",VLOOKUP(D63,'MASTER DATA'!C5:D19,2,0)),"")</f>
        <v/>
      </c>
      <c r="F63" s="136" t="n"/>
      <c r="G63" s="136" t="n"/>
      <c r="H63" s="134" t="n"/>
      <c r="I63" s="159" t="n"/>
      <c r="J63" s="121" t="n"/>
      <c r="K63" s="121" t="n"/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9.5" customHeight="1" s="122">
      <c r="A64" s="121" t="n"/>
      <c r="B64" s="133" t="n">
        <v>61</v>
      </c>
      <c r="C64" s="157" t="n"/>
      <c r="D64" s="134" t="n"/>
      <c r="E64" s="158">
        <f>IFERROR(IF(D64="","",VLOOKUP(D64,'MASTER DATA'!C5:D19,2,0)),"")</f>
        <v/>
      </c>
      <c r="F64" s="136" t="n"/>
      <c r="G64" s="136" t="n"/>
      <c r="H64" s="134" t="n"/>
      <c r="I64" s="159" t="n"/>
      <c r="J64" s="121" t="n"/>
      <c r="K64" s="121" t="n"/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9.5" customHeight="1" s="122">
      <c r="A65" s="121" t="n"/>
      <c r="B65" s="143" t="n">
        <v>62</v>
      </c>
      <c r="C65" s="157" t="n"/>
      <c r="D65" s="134" t="n"/>
      <c r="E65" s="160">
        <f>IFERROR(IF(D65="","",VLOOKUP(D65,'MASTER DATA'!C5:D19,2,0)),"")</f>
        <v/>
      </c>
      <c r="F65" s="136" t="n"/>
      <c r="G65" s="136" t="n"/>
      <c r="H65" s="134" t="n"/>
      <c r="I65" s="159" t="n"/>
      <c r="J65" s="121" t="n"/>
      <c r="K65" s="121" t="n"/>
      <c r="L65" s="121" t="n"/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9.5" customHeight="1" s="122">
      <c r="A66" s="121" t="n"/>
      <c r="B66" s="133" t="n">
        <v>63</v>
      </c>
      <c r="C66" s="157" t="n"/>
      <c r="D66" s="134" t="n"/>
      <c r="E66" s="158">
        <f>IFERROR(IF(D66="","",VLOOKUP(D66,'MASTER DATA'!C5:D19,2,0)),"")</f>
        <v/>
      </c>
      <c r="F66" s="136" t="n"/>
      <c r="G66" s="136" t="n"/>
      <c r="H66" s="134" t="n"/>
      <c r="I66" s="159" t="n"/>
      <c r="J66" s="121" t="n"/>
      <c r="K66" s="121" t="n"/>
      <c r="L66" s="121" t="n"/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9.5" customHeight="1" s="122">
      <c r="A67" s="121" t="n"/>
      <c r="B67" s="143" t="n">
        <v>64</v>
      </c>
      <c r="C67" s="157" t="n"/>
      <c r="D67" s="134" t="n"/>
      <c r="E67" s="160">
        <f>IFERROR(IF(D67="","",VLOOKUP(D67,'MASTER DATA'!C5:D19,2,0)),"")</f>
        <v/>
      </c>
      <c r="F67" s="136" t="n"/>
      <c r="G67" s="136" t="n"/>
      <c r="H67" s="134" t="n"/>
      <c r="I67" s="159" t="n"/>
      <c r="J67" s="121" t="n"/>
      <c r="K67" s="121" t="n"/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9.5" customHeight="1" s="122">
      <c r="A68" s="121" t="n"/>
      <c r="B68" s="133" t="n">
        <v>65</v>
      </c>
      <c r="C68" s="157" t="n"/>
      <c r="D68" s="134" t="n"/>
      <c r="E68" s="158">
        <f>IFERROR(IF(D68="","",VLOOKUP(D68,'MASTER DATA'!C5:D19,2,0)),"")</f>
        <v/>
      </c>
      <c r="F68" s="136" t="n"/>
      <c r="G68" s="136" t="n"/>
      <c r="H68" s="134" t="n"/>
      <c r="I68" s="159" t="n"/>
      <c r="J68" s="121" t="n"/>
      <c r="K68" s="121" t="n"/>
      <c r="L68" s="121" t="n"/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9.5" customHeight="1" s="122">
      <c r="A69" s="121" t="n"/>
      <c r="B69" s="143" t="n">
        <v>66</v>
      </c>
      <c r="C69" s="157" t="n"/>
      <c r="D69" s="134" t="n"/>
      <c r="E69" s="160">
        <f>IFERROR(IF(D69="","",VLOOKUP(D69,'MASTER DATA'!C5:D19,2,0)),"")</f>
        <v/>
      </c>
      <c r="F69" s="136" t="n"/>
      <c r="G69" s="136" t="n"/>
      <c r="H69" s="134" t="n"/>
      <c r="I69" s="159" t="n"/>
      <c r="J69" s="121" t="n"/>
      <c r="K69" s="121" t="n"/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9.5" customHeight="1" s="122">
      <c r="A70" s="121" t="n"/>
      <c r="B70" s="133" t="n">
        <v>67</v>
      </c>
      <c r="C70" s="157" t="n"/>
      <c r="D70" s="134" t="n"/>
      <c r="E70" s="158">
        <f>IFERROR(IF(D70="","",VLOOKUP(D70,'MASTER DATA'!C5:D19,2,0)),"")</f>
        <v/>
      </c>
      <c r="F70" s="136" t="n"/>
      <c r="G70" s="136" t="n"/>
      <c r="H70" s="134" t="n"/>
      <c r="I70" s="159" t="n"/>
      <c r="J70" s="121" t="n"/>
      <c r="K70" s="121" t="n"/>
      <c r="L70" s="121" t="n"/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19.5" customHeight="1" s="122">
      <c r="A71" s="121" t="n"/>
      <c r="B71" s="143" t="n">
        <v>68</v>
      </c>
      <c r="C71" s="157" t="n"/>
      <c r="D71" s="134" t="n"/>
      <c r="E71" s="160">
        <f>IFERROR(IF(D71="","",VLOOKUP(D71,'MASTER DATA'!C5:D19,2,0)),"")</f>
        <v/>
      </c>
      <c r="F71" s="136" t="n"/>
      <c r="G71" s="136" t="n"/>
      <c r="H71" s="134" t="n"/>
      <c r="I71" s="159" t="n"/>
      <c r="J71" s="121" t="n"/>
      <c r="K71" s="121" t="n"/>
      <c r="L71" s="12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9.5" customHeight="1" s="122">
      <c r="A72" s="121" t="n"/>
      <c r="B72" s="133" t="n">
        <v>69</v>
      </c>
      <c r="C72" s="157" t="n"/>
      <c r="D72" s="134" t="n"/>
      <c r="E72" s="158">
        <f>IFERROR(IF(D72="","",VLOOKUP(D72,'MASTER DATA'!C5:D19,2,0)),"")</f>
        <v/>
      </c>
      <c r="F72" s="136" t="n"/>
      <c r="G72" s="136" t="n"/>
      <c r="H72" s="134" t="n"/>
      <c r="I72" s="159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9.5" customHeight="1" s="122">
      <c r="A73" s="121" t="n"/>
      <c r="B73" s="143" t="n">
        <v>70</v>
      </c>
      <c r="C73" s="157" t="n"/>
      <c r="D73" s="134" t="n"/>
      <c r="E73" s="160">
        <f>IFERROR(IF(D73="","",VLOOKUP(D73,'MASTER DATA'!C5:D19,2,0)),"")</f>
        <v/>
      </c>
      <c r="F73" s="136" t="n"/>
      <c r="G73" s="136" t="n"/>
      <c r="H73" s="134" t="n"/>
      <c r="I73" s="159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9.5" customHeight="1" s="122">
      <c r="A74" s="121" t="n"/>
      <c r="B74" s="133" t="n">
        <v>71</v>
      </c>
      <c r="C74" s="157" t="n"/>
      <c r="D74" s="134" t="n"/>
      <c r="E74" s="158">
        <f>IFERROR(IF(D74="","",VLOOKUP(D74,'MASTER DATA'!C5:D19,2,0)),"")</f>
        <v/>
      </c>
      <c r="F74" s="136" t="n"/>
      <c r="G74" s="136" t="n"/>
      <c r="H74" s="134" t="n"/>
      <c r="I74" s="159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9.5" customHeight="1" s="122">
      <c r="A75" s="121" t="n"/>
      <c r="B75" s="143" t="n">
        <v>72</v>
      </c>
      <c r="C75" s="157" t="n"/>
      <c r="D75" s="134" t="n"/>
      <c r="E75" s="160">
        <f>IFERROR(IF(D75="","",VLOOKUP(D75,'MASTER DATA'!C5:D19,2,0)),"")</f>
        <v/>
      </c>
      <c r="F75" s="136" t="n"/>
      <c r="G75" s="136" t="n"/>
      <c r="H75" s="134" t="n"/>
      <c r="I75" s="159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9.5" customHeight="1" s="122">
      <c r="A76" s="121" t="n"/>
      <c r="B76" s="133" t="n">
        <v>73</v>
      </c>
      <c r="C76" s="157" t="n"/>
      <c r="D76" s="134" t="n"/>
      <c r="E76" s="158">
        <f>IFERROR(IF(D76="","",VLOOKUP(D76,'MASTER DATA'!C5:D19,2,0)),"")</f>
        <v/>
      </c>
      <c r="F76" s="136" t="n"/>
      <c r="G76" s="136" t="n"/>
      <c r="H76" s="134" t="n"/>
      <c r="I76" s="159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9.5" customHeight="1" s="122">
      <c r="A77" s="121" t="n"/>
      <c r="B77" s="143" t="n">
        <v>74</v>
      </c>
      <c r="C77" s="157" t="n"/>
      <c r="D77" s="134" t="n"/>
      <c r="E77" s="160">
        <f>IFERROR(IF(D77="","",VLOOKUP(D77,'MASTER DATA'!C5:D19,2,0)),"")</f>
        <v/>
      </c>
      <c r="F77" s="136" t="n"/>
      <c r="G77" s="136" t="n"/>
      <c r="H77" s="134" t="n"/>
      <c r="I77" s="159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9.5" customHeight="1" s="122">
      <c r="A78" s="121" t="n"/>
      <c r="B78" s="133" t="n">
        <v>75</v>
      </c>
      <c r="C78" s="157" t="n"/>
      <c r="D78" s="134" t="n"/>
      <c r="E78" s="158">
        <f>IFERROR(IF(D78="","",VLOOKUP(D78,'MASTER DATA'!C5:D19,2,0)),"")</f>
        <v/>
      </c>
      <c r="F78" s="136" t="n"/>
      <c r="G78" s="136" t="n"/>
      <c r="H78" s="134" t="n"/>
      <c r="I78" s="159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9.5" customHeight="1" s="122">
      <c r="A79" s="121" t="n"/>
      <c r="B79" s="143" t="n">
        <v>76</v>
      </c>
      <c r="C79" s="157" t="n"/>
      <c r="D79" s="134" t="n"/>
      <c r="E79" s="160">
        <f>IFERROR(IF(D79="","",VLOOKUP(D79,'MASTER DATA'!C5:D19,2,0)),"")</f>
        <v/>
      </c>
      <c r="F79" s="136" t="n"/>
      <c r="G79" s="136" t="n"/>
      <c r="H79" s="134" t="n"/>
      <c r="I79" s="159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9.5" customHeight="1" s="122">
      <c r="A80" s="121" t="n"/>
      <c r="B80" s="133" t="n">
        <v>77</v>
      </c>
      <c r="C80" s="157" t="n"/>
      <c r="D80" s="134" t="n"/>
      <c r="E80" s="158">
        <f>IFERROR(IF(D80="","",VLOOKUP(D80,'MASTER DATA'!C5:D19,2,0)),"")</f>
        <v/>
      </c>
      <c r="F80" s="136" t="n"/>
      <c r="G80" s="136" t="n"/>
      <c r="H80" s="134" t="n"/>
      <c r="I80" s="159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9.5" customHeight="1" s="122">
      <c r="A81" s="121" t="n"/>
      <c r="B81" s="143" t="n">
        <v>78</v>
      </c>
      <c r="C81" s="157" t="n"/>
      <c r="D81" s="134" t="n"/>
      <c r="E81" s="160">
        <f>IFERROR(IF(D81="","",VLOOKUP(D81,'MASTER DATA'!C5:D19,2,0)),"")</f>
        <v/>
      </c>
      <c r="F81" s="136" t="n"/>
      <c r="G81" s="136" t="n"/>
      <c r="H81" s="134" t="n"/>
      <c r="I81" s="159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9.5" customHeight="1" s="122">
      <c r="A82" s="121" t="n"/>
      <c r="B82" s="133" t="n">
        <v>79</v>
      </c>
      <c r="C82" s="157" t="n"/>
      <c r="D82" s="134" t="n"/>
      <c r="E82" s="158">
        <f>IFERROR(IF(D82="","",VLOOKUP(D82,'MASTER DATA'!C5:D19,2,0)),"")</f>
        <v/>
      </c>
      <c r="F82" s="136" t="n"/>
      <c r="G82" s="136" t="n"/>
      <c r="H82" s="134" t="n"/>
      <c r="I82" s="159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9.5" customHeight="1" s="122">
      <c r="A83" s="121" t="n"/>
      <c r="B83" s="143" t="n">
        <v>80</v>
      </c>
      <c r="C83" s="157" t="n"/>
      <c r="D83" s="134" t="n"/>
      <c r="E83" s="160">
        <f>IFERROR(IF(D83="","",VLOOKUP(D83,'MASTER DATA'!C5:D19,2,0)),"")</f>
        <v/>
      </c>
      <c r="F83" s="136" t="n"/>
      <c r="G83" s="136" t="n"/>
      <c r="H83" s="134" t="n"/>
      <c r="I83" s="159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9.5" customHeight="1" s="122">
      <c r="A84" s="121" t="n"/>
      <c r="B84" s="133" t="n">
        <v>81</v>
      </c>
      <c r="C84" s="157" t="n"/>
      <c r="D84" s="134" t="n"/>
      <c r="E84" s="158">
        <f>IFERROR(IF(D84="","",VLOOKUP(D84,'MASTER DATA'!C5:D19,2,0)),"")</f>
        <v/>
      </c>
      <c r="F84" s="136" t="n"/>
      <c r="G84" s="136" t="n"/>
      <c r="H84" s="134" t="n"/>
      <c r="I84" s="159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9.5" customHeight="1" s="122">
      <c r="A85" s="121" t="n"/>
      <c r="B85" s="143" t="n">
        <v>82</v>
      </c>
      <c r="C85" s="157" t="n"/>
      <c r="D85" s="134" t="n"/>
      <c r="E85" s="160">
        <f>IFERROR(IF(D85="","",VLOOKUP(D85,'MASTER DATA'!C5:D19,2,0)),"")</f>
        <v/>
      </c>
      <c r="F85" s="136" t="n"/>
      <c r="G85" s="136" t="n"/>
      <c r="H85" s="134" t="n"/>
      <c r="I85" s="159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9.5" customHeight="1" s="122">
      <c r="A86" s="121" t="n"/>
      <c r="B86" s="133" t="n">
        <v>83</v>
      </c>
      <c r="C86" s="157" t="n"/>
      <c r="D86" s="134" t="n"/>
      <c r="E86" s="158">
        <f>IFERROR(IF(D86="","",VLOOKUP(D86,'MASTER DATA'!C5:D19,2,0)),"")</f>
        <v/>
      </c>
      <c r="F86" s="136" t="n"/>
      <c r="G86" s="136" t="n"/>
      <c r="H86" s="134" t="n"/>
      <c r="I86" s="159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9.5" customHeight="1" s="122">
      <c r="A87" s="121" t="n"/>
      <c r="B87" s="143" t="n">
        <v>84</v>
      </c>
      <c r="C87" s="157" t="n"/>
      <c r="D87" s="134" t="n"/>
      <c r="E87" s="160">
        <f>IFERROR(IF(D87="","",VLOOKUP(D87,'MASTER DATA'!C5:D19,2,0)),"")</f>
        <v/>
      </c>
      <c r="F87" s="136" t="n"/>
      <c r="G87" s="136" t="n"/>
      <c r="H87" s="134" t="n"/>
      <c r="I87" s="159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9.5" customHeight="1" s="122">
      <c r="A88" s="121" t="n"/>
      <c r="B88" s="133" t="n">
        <v>85</v>
      </c>
      <c r="C88" s="157" t="n"/>
      <c r="D88" s="134" t="n"/>
      <c r="E88" s="158">
        <f>IFERROR(IF(D88="","",VLOOKUP(D88,'MASTER DATA'!C5:D19,2,0)),"")</f>
        <v/>
      </c>
      <c r="F88" s="136" t="n"/>
      <c r="G88" s="136" t="n"/>
      <c r="H88" s="134" t="n"/>
      <c r="I88" s="159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9.5" customHeight="1" s="122">
      <c r="A89" s="121" t="n"/>
      <c r="B89" s="143" t="n">
        <v>86</v>
      </c>
      <c r="C89" s="157" t="n"/>
      <c r="D89" s="134" t="n"/>
      <c r="E89" s="160">
        <f>IFERROR(IF(D89="","",VLOOKUP(D89,'MASTER DATA'!C5:D19,2,0)),"")</f>
        <v/>
      </c>
      <c r="F89" s="136" t="n"/>
      <c r="G89" s="136" t="n"/>
      <c r="H89" s="134" t="n"/>
      <c r="I89" s="159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9.5" customHeight="1" s="122">
      <c r="A90" s="121" t="n"/>
      <c r="B90" s="133" t="n">
        <v>87</v>
      </c>
      <c r="C90" s="157" t="n"/>
      <c r="D90" s="134" t="n"/>
      <c r="E90" s="158">
        <f>IFERROR(IF(D90="","",VLOOKUP(D90,'MASTER DATA'!C5:D19,2,0)),"")</f>
        <v/>
      </c>
      <c r="F90" s="136" t="n"/>
      <c r="G90" s="136" t="n"/>
      <c r="H90" s="134" t="n"/>
      <c r="I90" s="159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9.5" customHeight="1" s="122">
      <c r="A91" s="121" t="n"/>
      <c r="B91" s="143" t="n">
        <v>88</v>
      </c>
      <c r="C91" s="157" t="n"/>
      <c r="D91" s="134" t="n"/>
      <c r="E91" s="160">
        <f>IFERROR(IF(D91="","",VLOOKUP(D91,'MASTER DATA'!C5:D19,2,0)),"")</f>
        <v/>
      </c>
      <c r="F91" s="136" t="n"/>
      <c r="G91" s="136" t="n"/>
      <c r="H91" s="134" t="n"/>
      <c r="I91" s="159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9.5" customHeight="1" s="122">
      <c r="A92" s="121" t="n"/>
      <c r="B92" s="133" t="n">
        <v>89</v>
      </c>
      <c r="C92" s="157" t="n"/>
      <c r="D92" s="134" t="n"/>
      <c r="E92" s="158">
        <f>IFERROR(IF(D92="","",VLOOKUP(D92,'MASTER DATA'!C5:D19,2,0)),"")</f>
        <v/>
      </c>
      <c r="F92" s="136" t="n"/>
      <c r="G92" s="136" t="n"/>
      <c r="H92" s="134" t="n"/>
      <c r="I92" s="159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9.5" customHeight="1" s="122">
      <c r="A93" s="121" t="n"/>
      <c r="B93" s="143" t="n">
        <v>90</v>
      </c>
      <c r="C93" s="157" t="n"/>
      <c r="D93" s="134" t="n"/>
      <c r="E93" s="160">
        <f>IFERROR(IF(D93="","",VLOOKUP(D93,'MASTER DATA'!C5:D19,2,0)),"")</f>
        <v/>
      </c>
      <c r="F93" s="136" t="n"/>
      <c r="G93" s="136" t="n"/>
      <c r="H93" s="134" t="n"/>
      <c r="I93" s="159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9.5" customHeight="1" s="122">
      <c r="A94" s="121" t="n"/>
      <c r="B94" s="133" t="n">
        <v>91</v>
      </c>
      <c r="C94" s="157" t="n"/>
      <c r="D94" s="134" t="n"/>
      <c r="E94" s="158">
        <f>IFERROR(IF(D94="","",VLOOKUP(D94,'MASTER DATA'!C5:D19,2,0)),"")</f>
        <v/>
      </c>
      <c r="F94" s="136" t="n"/>
      <c r="G94" s="136" t="n"/>
      <c r="H94" s="134" t="n"/>
      <c r="I94" s="159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9.5" customHeight="1" s="122">
      <c r="A95" s="121" t="n"/>
      <c r="B95" s="143" t="n">
        <v>92</v>
      </c>
      <c r="C95" s="157" t="n"/>
      <c r="D95" s="134" t="n"/>
      <c r="E95" s="160">
        <f>IFERROR(IF(D95="","",VLOOKUP(D95,'MASTER DATA'!C5:D19,2,0)),"")</f>
        <v/>
      </c>
      <c r="F95" s="136" t="n"/>
      <c r="G95" s="136" t="n"/>
      <c r="H95" s="134" t="n"/>
      <c r="I95" s="159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9.5" customHeight="1" s="122">
      <c r="A96" s="121" t="n"/>
      <c r="B96" s="133" t="n">
        <v>93</v>
      </c>
      <c r="C96" s="157" t="n"/>
      <c r="D96" s="134" t="n"/>
      <c r="E96" s="158">
        <f>IFERROR(IF(D96="","",VLOOKUP(D96,'MASTER DATA'!C5:D19,2,0)),"")</f>
        <v/>
      </c>
      <c r="F96" s="136" t="n"/>
      <c r="G96" s="136" t="n"/>
      <c r="H96" s="134" t="n"/>
      <c r="I96" s="159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9.5" customHeight="1" s="122">
      <c r="A97" s="121" t="n"/>
      <c r="B97" s="143" t="n">
        <v>94</v>
      </c>
      <c r="C97" s="157" t="n"/>
      <c r="D97" s="134" t="n"/>
      <c r="E97" s="160">
        <f>IFERROR(IF(D97="","",VLOOKUP(D97,'MASTER DATA'!C5:D19,2,0)),"")</f>
        <v/>
      </c>
      <c r="F97" s="136" t="n"/>
      <c r="G97" s="136" t="n"/>
      <c r="H97" s="134" t="n"/>
      <c r="I97" s="159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9.5" customHeight="1" s="122">
      <c r="A98" s="121" t="n"/>
      <c r="B98" s="133" t="n">
        <v>95</v>
      </c>
      <c r="C98" s="157" t="n"/>
      <c r="D98" s="134" t="n"/>
      <c r="E98" s="158">
        <f>IFERROR(IF(D98="","",VLOOKUP(D98,'MASTER DATA'!C5:D19,2,0)),"")</f>
        <v/>
      </c>
      <c r="F98" s="136" t="n"/>
      <c r="G98" s="136" t="n"/>
      <c r="H98" s="134" t="n"/>
      <c r="I98" s="159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9.5" customHeight="1" s="122">
      <c r="A99" s="121" t="n"/>
      <c r="B99" s="143" t="n">
        <v>96</v>
      </c>
      <c r="C99" s="157" t="n"/>
      <c r="D99" s="134" t="n"/>
      <c r="E99" s="160">
        <f>IFERROR(IF(D99="","",VLOOKUP(D99,'MASTER DATA'!C5:D19,2,0)),"")</f>
        <v/>
      </c>
      <c r="F99" s="136" t="n"/>
      <c r="G99" s="136" t="n"/>
      <c r="H99" s="134" t="n"/>
      <c r="I99" s="159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9.5" customHeight="1" s="122">
      <c r="A100" s="121" t="n"/>
      <c r="B100" s="133" t="n">
        <v>97</v>
      </c>
      <c r="C100" s="157" t="n"/>
      <c r="D100" s="134" t="n"/>
      <c r="E100" s="158">
        <f>IFERROR(IF(D100="","",VLOOKUP(D100,'MASTER DATA'!C5:D19,2,0)),"")</f>
        <v/>
      </c>
      <c r="F100" s="136" t="n"/>
      <c r="G100" s="136" t="n"/>
      <c r="H100" s="134" t="n"/>
      <c r="I100" s="159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9.5" customHeight="1" s="122">
      <c r="A101" s="121" t="n"/>
      <c r="B101" s="143" t="n">
        <v>98</v>
      </c>
      <c r="C101" s="157" t="n"/>
      <c r="D101" s="134" t="n"/>
      <c r="E101" s="160">
        <f>IFERROR(IF(D101="","",VLOOKUP(D101,'MASTER DATA'!C5:D19,2,0)),"")</f>
        <v/>
      </c>
      <c r="F101" s="136" t="n"/>
      <c r="G101" s="136" t="n"/>
      <c r="H101" s="134" t="n"/>
      <c r="I101" s="159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9.5" customHeight="1" s="122">
      <c r="A102" s="121" t="n"/>
      <c r="B102" s="133" t="n">
        <v>99</v>
      </c>
      <c r="C102" s="157" t="n"/>
      <c r="D102" s="134" t="n"/>
      <c r="E102" s="158">
        <f>IFERROR(IF(D102="","",VLOOKUP(D102,'MASTER DATA'!C5:D19,2,0)),"")</f>
        <v/>
      </c>
      <c r="F102" s="136" t="n"/>
      <c r="G102" s="136" t="n"/>
      <c r="H102" s="134" t="n"/>
      <c r="I102" s="159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9.5" customHeight="1" s="122">
      <c r="A103" s="121" t="n"/>
      <c r="B103" s="143" t="n">
        <v>100</v>
      </c>
      <c r="C103" s="157" t="n"/>
      <c r="D103" s="134" t="n"/>
      <c r="E103" s="160">
        <f>IFERROR(IF(D103="","",VLOOKUP(D103,'MASTER DATA'!C5:D19,2,0)),"")</f>
        <v/>
      </c>
      <c r="F103" s="136" t="n"/>
      <c r="G103" s="136" t="n"/>
      <c r="H103" s="134" t="n"/>
      <c r="I103" s="159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9.5" customHeight="1" s="122">
      <c r="A104" s="121" t="n"/>
      <c r="B104" s="133" t="n">
        <v>101</v>
      </c>
      <c r="C104" s="157" t="n"/>
      <c r="D104" s="134" t="n"/>
      <c r="E104" s="158">
        <f>IFERROR(IF(D104="","",VLOOKUP(D104,'MASTER DATA'!C5:D19,2,0)),"")</f>
        <v/>
      </c>
      <c r="F104" s="136" t="n"/>
      <c r="G104" s="136" t="n"/>
      <c r="H104" s="134" t="n"/>
      <c r="I104" s="159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9.5" customHeight="1" s="122">
      <c r="A105" s="121" t="n"/>
      <c r="B105" s="143" t="n">
        <v>102</v>
      </c>
      <c r="C105" s="157" t="n"/>
      <c r="D105" s="134" t="n"/>
      <c r="E105" s="160">
        <f>IFERROR(IF(D105="","",VLOOKUP(D105,'MASTER DATA'!C5:D19,2,0)),"")</f>
        <v/>
      </c>
      <c r="F105" s="136" t="n"/>
      <c r="G105" s="136" t="n"/>
      <c r="H105" s="134" t="n"/>
      <c r="I105" s="159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9.5" customHeight="1" s="122">
      <c r="A106" s="121" t="n"/>
      <c r="B106" s="133" t="n">
        <v>103</v>
      </c>
      <c r="C106" s="157" t="n"/>
      <c r="D106" s="134" t="n"/>
      <c r="E106" s="158">
        <f>IFERROR(IF(D106="","",VLOOKUP(D106,'MASTER DATA'!C5:D19,2,0)),"")</f>
        <v/>
      </c>
      <c r="F106" s="136" t="n"/>
      <c r="G106" s="136" t="n"/>
      <c r="H106" s="134" t="n"/>
      <c r="I106" s="159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9.5" customHeight="1" s="122">
      <c r="A107" s="121" t="n"/>
      <c r="B107" s="143" t="n">
        <v>104</v>
      </c>
      <c r="C107" s="157" t="n"/>
      <c r="D107" s="134" t="n"/>
      <c r="E107" s="160">
        <f>IFERROR(IF(D107="","",VLOOKUP(D107,'MASTER DATA'!C5:D19,2,0)),"")</f>
        <v/>
      </c>
      <c r="F107" s="136" t="n"/>
      <c r="G107" s="136" t="n"/>
      <c r="H107" s="134" t="n"/>
      <c r="I107" s="159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9.5" customHeight="1" s="122">
      <c r="A108" s="121" t="n"/>
      <c r="B108" s="133" t="n">
        <v>105</v>
      </c>
      <c r="C108" s="157" t="n"/>
      <c r="D108" s="134" t="n"/>
      <c r="E108" s="158">
        <f>IFERROR(IF(D108="","",VLOOKUP(D108,'MASTER DATA'!C5:D19,2,0)),"")</f>
        <v/>
      </c>
      <c r="F108" s="136" t="n"/>
      <c r="G108" s="136" t="n"/>
      <c r="H108" s="134" t="n"/>
      <c r="I108" s="159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9.5" customHeight="1" s="122">
      <c r="A109" s="121" t="n"/>
      <c r="B109" s="143" t="n">
        <v>106</v>
      </c>
      <c r="C109" s="157" t="n"/>
      <c r="D109" s="134" t="n"/>
      <c r="E109" s="160">
        <f>IFERROR(IF(D109="","",VLOOKUP(D109,'MASTER DATA'!C5:D19,2,0)),"")</f>
        <v/>
      </c>
      <c r="F109" s="136" t="n"/>
      <c r="G109" s="136" t="n"/>
      <c r="H109" s="134" t="n"/>
      <c r="I109" s="159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9.5" customHeight="1" s="122">
      <c r="A110" s="121" t="n"/>
      <c r="B110" s="133" t="n">
        <v>107</v>
      </c>
      <c r="C110" s="157" t="n"/>
      <c r="D110" s="134" t="n"/>
      <c r="E110" s="158">
        <f>IFERROR(IF(D110="","",VLOOKUP(D110,'MASTER DATA'!C5:D19,2,0)),"")</f>
        <v/>
      </c>
      <c r="F110" s="136" t="n"/>
      <c r="G110" s="136" t="n"/>
      <c r="H110" s="134" t="n"/>
      <c r="I110" s="159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9.5" customHeight="1" s="122">
      <c r="A111" s="121" t="n"/>
      <c r="B111" s="143" t="n">
        <v>108</v>
      </c>
      <c r="C111" s="157" t="n"/>
      <c r="D111" s="134" t="n"/>
      <c r="E111" s="160">
        <f>IFERROR(IF(D111="","",VLOOKUP(D111,'MASTER DATA'!C5:D19,2,0)),"")</f>
        <v/>
      </c>
      <c r="F111" s="136" t="n"/>
      <c r="G111" s="136" t="n"/>
      <c r="H111" s="134" t="n"/>
      <c r="I111" s="159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9.5" customHeight="1" s="122">
      <c r="A112" s="121" t="n"/>
      <c r="B112" s="133" t="n">
        <v>109</v>
      </c>
      <c r="C112" s="157" t="n"/>
      <c r="D112" s="134" t="n"/>
      <c r="E112" s="158">
        <f>IFERROR(IF(D112="","",VLOOKUP(D112,'MASTER DATA'!C5:D19,2,0)),"")</f>
        <v/>
      </c>
      <c r="F112" s="136" t="n"/>
      <c r="G112" s="136" t="n"/>
      <c r="H112" s="134" t="n"/>
      <c r="I112" s="159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9.5" customHeight="1" s="122">
      <c r="A113" s="121" t="n"/>
      <c r="B113" s="143" t="n">
        <v>110</v>
      </c>
      <c r="C113" s="157" t="n"/>
      <c r="D113" s="134" t="n"/>
      <c r="E113" s="160">
        <f>IFERROR(IF(D113="","",VLOOKUP(D113,'MASTER DATA'!C5:D19,2,0)),"")</f>
        <v/>
      </c>
      <c r="F113" s="136" t="n"/>
      <c r="G113" s="136" t="n"/>
      <c r="H113" s="134" t="n"/>
      <c r="I113" s="159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9.5" customHeight="1" s="122">
      <c r="A114" s="121" t="n"/>
      <c r="B114" s="133" t="n">
        <v>111</v>
      </c>
      <c r="C114" s="157" t="n"/>
      <c r="D114" s="134" t="n"/>
      <c r="E114" s="158">
        <f>IFERROR(IF(D114="","",VLOOKUP(D114,'MASTER DATA'!C5:D19,2,0)),"")</f>
        <v/>
      </c>
      <c r="F114" s="136" t="n"/>
      <c r="G114" s="136" t="n"/>
      <c r="H114" s="134" t="n"/>
      <c r="I114" s="159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9.5" customHeight="1" s="122">
      <c r="A115" s="121" t="n"/>
      <c r="B115" s="143" t="n">
        <v>112</v>
      </c>
      <c r="C115" s="157" t="n"/>
      <c r="D115" s="134" t="n"/>
      <c r="E115" s="160">
        <f>IFERROR(IF(D115="","",VLOOKUP(D115,'MASTER DATA'!C5:D19,2,0)),"")</f>
        <v/>
      </c>
      <c r="F115" s="136" t="n"/>
      <c r="G115" s="136" t="n"/>
      <c r="H115" s="134" t="n"/>
      <c r="I115" s="159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9.5" customHeight="1" s="122">
      <c r="A116" s="121" t="n"/>
      <c r="B116" s="133" t="n">
        <v>113</v>
      </c>
      <c r="C116" s="157" t="n"/>
      <c r="D116" s="134" t="n"/>
      <c r="E116" s="158">
        <f>IFERROR(IF(D116="","",VLOOKUP(D116,'MASTER DATA'!C5:D19,2,0)),"")</f>
        <v/>
      </c>
      <c r="F116" s="136" t="n"/>
      <c r="G116" s="136" t="n"/>
      <c r="H116" s="134" t="n"/>
      <c r="I116" s="159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9.5" customHeight="1" s="122">
      <c r="A117" s="121" t="n"/>
      <c r="B117" s="143" t="n">
        <v>114</v>
      </c>
      <c r="C117" s="157" t="n"/>
      <c r="D117" s="134" t="n"/>
      <c r="E117" s="160">
        <f>IFERROR(IF(D117="","",VLOOKUP(D117,'MASTER DATA'!C5:D19,2,0)),"")</f>
        <v/>
      </c>
      <c r="F117" s="136" t="n"/>
      <c r="G117" s="136" t="n"/>
      <c r="H117" s="134" t="n"/>
      <c r="I117" s="159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9.5" customHeight="1" s="122">
      <c r="A118" s="121" t="n"/>
      <c r="B118" s="133" t="n">
        <v>115</v>
      </c>
      <c r="C118" s="157" t="n"/>
      <c r="D118" s="134" t="n"/>
      <c r="E118" s="158">
        <f>IFERROR(IF(D118="","",VLOOKUP(D118,'MASTER DATA'!C5:D19,2,0)),"")</f>
        <v/>
      </c>
      <c r="F118" s="136" t="n"/>
      <c r="G118" s="136" t="n"/>
      <c r="H118" s="134" t="n"/>
      <c r="I118" s="159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9.5" customHeight="1" s="122">
      <c r="A119" s="121" t="n"/>
      <c r="B119" s="143" t="n">
        <v>116</v>
      </c>
      <c r="C119" s="157" t="n"/>
      <c r="D119" s="134" t="n"/>
      <c r="E119" s="160">
        <f>IFERROR(IF(D119="","",VLOOKUP(D119,'MASTER DATA'!C5:D19,2,0)),"")</f>
        <v/>
      </c>
      <c r="F119" s="136" t="n"/>
      <c r="G119" s="136" t="n"/>
      <c r="H119" s="134" t="n"/>
      <c r="I119" s="159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9.5" customHeight="1" s="122">
      <c r="A120" s="121" t="n"/>
      <c r="B120" s="133" t="n">
        <v>117</v>
      </c>
      <c r="C120" s="157" t="n"/>
      <c r="D120" s="134" t="n"/>
      <c r="E120" s="158">
        <f>IFERROR(IF(D120="","",VLOOKUP(D120,'MASTER DATA'!C5:D19,2,0)),"")</f>
        <v/>
      </c>
      <c r="F120" s="136" t="n"/>
      <c r="G120" s="136" t="n"/>
      <c r="H120" s="134" t="n"/>
      <c r="I120" s="159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9.5" customHeight="1" s="122">
      <c r="A121" s="121" t="n"/>
      <c r="B121" s="143" t="n">
        <v>118</v>
      </c>
      <c r="C121" s="157" t="n"/>
      <c r="D121" s="134" t="n"/>
      <c r="E121" s="160">
        <f>IFERROR(IF(D121="","",VLOOKUP(D121,'MASTER DATA'!C5:D19,2,0)),"")</f>
        <v/>
      </c>
      <c r="F121" s="136" t="n"/>
      <c r="G121" s="136" t="n"/>
      <c r="H121" s="134" t="n"/>
      <c r="I121" s="159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9.5" customHeight="1" s="122">
      <c r="A122" s="121" t="n"/>
      <c r="B122" s="133" t="n">
        <v>119</v>
      </c>
      <c r="C122" s="157" t="n"/>
      <c r="D122" s="134" t="n"/>
      <c r="E122" s="158">
        <f>IFERROR(IF(D122="","",VLOOKUP(D122,'MASTER DATA'!C5:D19,2,0)),"")</f>
        <v/>
      </c>
      <c r="F122" s="136" t="n"/>
      <c r="G122" s="136" t="n"/>
      <c r="H122" s="134" t="n"/>
      <c r="I122" s="159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9.5" customHeight="1" s="122">
      <c r="A123" s="121" t="n"/>
      <c r="B123" s="143" t="n">
        <v>120</v>
      </c>
      <c r="C123" s="157" t="n"/>
      <c r="D123" s="134" t="n"/>
      <c r="E123" s="160">
        <f>IFERROR(IF(D123="","",VLOOKUP(D123,'MASTER DATA'!C5:D19,2,0)),"")</f>
        <v/>
      </c>
      <c r="F123" s="136" t="n"/>
      <c r="G123" s="136" t="n"/>
      <c r="H123" s="134" t="n"/>
      <c r="I123" s="159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9.5" customHeight="1" s="122">
      <c r="A124" s="121" t="n"/>
      <c r="B124" s="133" t="n">
        <v>121</v>
      </c>
      <c r="C124" s="157" t="n"/>
      <c r="D124" s="134" t="n"/>
      <c r="E124" s="158">
        <f>IFERROR(IF(D124="","",VLOOKUP(D124,'MASTER DATA'!C5:D19,2,0)),"")</f>
        <v/>
      </c>
      <c r="F124" s="136" t="n"/>
      <c r="G124" s="136" t="n"/>
      <c r="H124" s="134" t="n"/>
      <c r="I124" s="159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9.5" customHeight="1" s="122">
      <c r="A125" s="121" t="n"/>
      <c r="B125" s="143" t="n">
        <v>122</v>
      </c>
      <c r="C125" s="157" t="n"/>
      <c r="D125" s="134" t="n"/>
      <c r="E125" s="160">
        <f>IFERROR(IF(D125="","",VLOOKUP(D125,'MASTER DATA'!C5:D19,2,0)),"")</f>
        <v/>
      </c>
      <c r="F125" s="136" t="n"/>
      <c r="G125" s="136" t="n"/>
      <c r="H125" s="134" t="n"/>
      <c r="I125" s="159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9.5" customHeight="1" s="122">
      <c r="A126" s="121" t="n"/>
      <c r="B126" s="133" t="n">
        <v>123</v>
      </c>
      <c r="C126" s="157" t="n"/>
      <c r="D126" s="134" t="n"/>
      <c r="E126" s="158">
        <f>IFERROR(IF(D126="","",VLOOKUP(D126,'MASTER DATA'!C5:D19,2,0)),"")</f>
        <v/>
      </c>
      <c r="F126" s="136" t="n"/>
      <c r="G126" s="136" t="n"/>
      <c r="H126" s="134" t="n"/>
      <c r="I126" s="159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9.5" customHeight="1" s="122">
      <c r="A127" s="121" t="n"/>
      <c r="B127" s="143" t="n">
        <v>124</v>
      </c>
      <c r="C127" s="157" t="n"/>
      <c r="D127" s="134" t="n"/>
      <c r="E127" s="160">
        <f>IFERROR(IF(D127="","",VLOOKUP(D127,'MASTER DATA'!C5:D19,2,0)),"")</f>
        <v/>
      </c>
      <c r="F127" s="136" t="n"/>
      <c r="G127" s="136" t="n"/>
      <c r="H127" s="134" t="n"/>
      <c r="I127" s="159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9.5" customHeight="1" s="122">
      <c r="A128" s="121" t="n"/>
      <c r="B128" s="133" t="n">
        <v>125</v>
      </c>
      <c r="C128" s="157" t="n"/>
      <c r="D128" s="134" t="n"/>
      <c r="E128" s="158">
        <f>IFERROR(IF(D128="","",VLOOKUP(D128,'MASTER DATA'!C5:D19,2,0)),"")</f>
        <v/>
      </c>
      <c r="F128" s="136" t="n"/>
      <c r="G128" s="136" t="n"/>
      <c r="H128" s="134" t="n"/>
      <c r="I128" s="159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9.5" customHeight="1" s="122">
      <c r="A129" s="121" t="n"/>
      <c r="B129" s="143" t="n">
        <v>126</v>
      </c>
      <c r="C129" s="157" t="n"/>
      <c r="D129" s="134" t="n"/>
      <c r="E129" s="160">
        <f>IFERROR(IF(D129="","",VLOOKUP(D129,'MASTER DATA'!C5:D19,2,0)),"")</f>
        <v/>
      </c>
      <c r="F129" s="136" t="n"/>
      <c r="G129" s="136" t="n"/>
      <c r="H129" s="134" t="n"/>
      <c r="I129" s="159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9.5" customHeight="1" s="122">
      <c r="A130" s="121" t="n"/>
      <c r="B130" s="133" t="n">
        <v>127</v>
      </c>
      <c r="C130" s="157" t="n"/>
      <c r="D130" s="134" t="n"/>
      <c r="E130" s="158">
        <f>IFERROR(IF(D130="","",VLOOKUP(D130,'MASTER DATA'!C5:D19,2,0)),"")</f>
        <v/>
      </c>
      <c r="F130" s="136" t="n"/>
      <c r="G130" s="136" t="n"/>
      <c r="H130" s="134" t="n"/>
      <c r="I130" s="159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9.5" customHeight="1" s="122">
      <c r="A131" s="121" t="n"/>
      <c r="B131" s="143" t="n">
        <v>128</v>
      </c>
      <c r="C131" s="157" t="n"/>
      <c r="D131" s="134" t="n"/>
      <c r="E131" s="160">
        <f>IFERROR(IF(D131="","",VLOOKUP(D131,'MASTER DATA'!C5:D19,2,0)),"")</f>
        <v/>
      </c>
      <c r="F131" s="136" t="n"/>
      <c r="G131" s="136" t="n"/>
      <c r="H131" s="134" t="n"/>
      <c r="I131" s="159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9.5" customHeight="1" s="122">
      <c r="A132" s="121" t="n"/>
      <c r="B132" s="133" t="n">
        <v>129</v>
      </c>
      <c r="C132" s="157" t="n"/>
      <c r="D132" s="134" t="n"/>
      <c r="E132" s="158">
        <f>IFERROR(IF(D132="","",VLOOKUP(D132,'MASTER DATA'!C5:D19,2,0)),"")</f>
        <v/>
      </c>
      <c r="F132" s="136" t="n"/>
      <c r="G132" s="136" t="n"/>
      <c r="H132" s="134" t="n"/>
      <c r="I132" s="159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9.5" customHeight="1" s="122">
      <c r="A133" s="121" t="n"/>
      <c r="B133" s="143" t="n">
        <v>130</v>
      </c>
      <c r="C133" s="157" t="n"/>
      <c r="D133" s="134" t="n"/>
      <c r="E133" s="160">
        <f>IFERROR(IF(D133="","",VLOOKUP(D133,'MASTER DATA'!C5:D19,2,0)),"")</f>
        <v/>
      </c>
      <c r="F133" s="136" t="n"/>
      <c r="G133" s="136" t="n"/>
      <c r="H133" s="134" t="n"/>
      <c r="I133" s="159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9.5" customHeight="1" s="122">
      <c r="A134" s="121" t="n"/>
      <c r="B134" s="133" t="n">
        <v>131</v>
      </c>
      <c r="C134" s="157" t="n"/>
      <c r="D134" s="134" t="n"/>
      <c r="E134" s="158">
        <f>IFERROR(IF(D134="","",VLOOKUP(D134,'MASTER DATA'!C5:D19,2,0)),"")</f>
        <v/>
      </c>
      <c r="F134" s="136" t="n"/>
      <c r="G134" s="136" t="n"/>
      <c r="H134" s="134" t="n"/>
      <c r="I134" s="159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9.5" customHeight="1" s="122">
      <c r="A135" s="121" t="n"/>
      <c r="B135" s="143" t="n">
        <v>132</v>
      </c>
      <c r="C135" s="157" t="n"/>
      <c r="D135" s="134" t="n"/>
      <c r="E135" s="160">
        <f>IFERROR(IF(D135="","",VLOOKUP(D135,'MASTER DATA'!C5:D19,2,0)),"")</f>
        <v/>
      </c>
      <c r="F135" s="136" t="n"/>
      <c r="G135" s="136" t="n"/>
      <c r="H135" s="134" t="n"/>
      <c r="I135" s="159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9.5" customHeight="1" s="122">
      <c r="A136" s="121" t="n"/>
      <c r="B136" s="133" t="n">
        <v>133</v>
      </c>
      <c r="C136" s="157" t="n"/>
      <c r="D136" s="134" t="n"/>
      <c r="E136" s="158">
        <f>IFERROR(IF(D136="","",VLOOKUP(D136,'MASTER DATA'!C5:D19,2,0)),"")</f>
        <v/>
      </c>
      <c r="F136" s="136" t="n"/>
      <c r="G136" s="136" t="n"/>
      <c r="H136" s="134" t="n"/>
      <c r="I136" s="159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9.5" customHeight="1" s="122">
      <c r="A137" s="121" t="n"/>
      <c r="B137" s="143" t="n">
        <v>134</v>
      </c>
      <c r="C137" s="157" t="n"/>
      <c r="D137" s="134" t="n"/>
      <c r="E137" s="160">
        <f>IFERROR(IF(D137="","",VLOOKUP(D137,'MASTER DATA'!C5:D19,2,0)),"")</f>
        <v/>
      </c>
      <c r="F137" s="136" t="n"/>
      <c r="G137" s="136" t="n"/>
      <c r="H137" s="134" t="n"/>
      <c r="I137" s="159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9.5" customHeight="1" s="122">
      <c r="A138" s="121" t="n"/>
      <c r="B138" s="133" t="n">
        <v>135</v>
      </c>
      <c r="C138" s="157" t="n"/>
      <c r="D138" s="134" t="n"/>
      <c r="E138" s="158">
        <f>IFERROR(IF(D138="","",VLOOKUP(D138,'MASTER DATA'!C5:D19,2,0)),"")</f>
        <v/>
      </c>
      <c r="F138" s="136" t="n"/>
      <c r="G138" s="136" t="n"/>
      <c r="H138" s="134" t="n"/>
      <c r="I138" s="159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9.5" customHeight="1" s="122">
      <c r="A139" s="121" t="n"/>
      <c r="B139" s="143" t="n">
        <v>136</v>
      </c>
      <c r="C139" s="157" t="n"/>
      <c r="D139" s="134" t="n"/>
      <c r="E139" s="160">
        <f>IFERROR(IF(D139="","",VLOOKUP(D139,'MASTER DATA'!C5:D19,2,0)),"")</f>
        <v/>
      </c>
      <c r="F139" s="136" t="n"/>
      <c r="G139" s="136" t="n"/>
      <c r="H139" s="134" t="n"/>
      <c r="I139" s="159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9.5" customHeight="1" s="122">
      <c r="A140" s="121" t="n"/>
      <c r="B140" s="133" t="n">
        <v>137</v>
      </c>
      <c r="C140" s="157" t="n"/>
      <c r="D140" s="134" t="n"/>
      <c r="E140" s="158">
        <f>IFERROR(IF(D140="","",VLOOKUP(D140,'MASTER DATA'!C5:D19,2,0)),"")</f>
        <v/>
      </c>
      <c r="F140" s="136" t="n"/>
      <c r="G140" s="136" t="n"/>
      <c r="H140" s="134" t="n"/>
      <c r="I140" s="159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9.5" customHeight="1" s="122">
      <c r="A141" s="121" t="n"/>
      <c r="B141" s="143" t="n">
        <v>138</v>
      </c>
      <c r="C141" s="157" t="n"/>
      <c r="D141" s="134" t="n"/>
      <c r="E141" s="160">
        <f>IFERROR(IF(D141="","",VLOOKUP(D141,'MASTER DATA'!C5:D19,2,0)),"")</f>
        <v/>
      </c>
      <c r="F141" s="136" t="n"/>
      <c r="G141" s="136" t="n"/>
      <c r="H141" s="134" t="n"/>
      <c r="I141" s="159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9.5" customHeight="1" s="122">
      <c r="A142" s="121" t="n"/>
      <c r="B142" s="133" t="n">
        <v>139</v>
      </c>
      <c r="C142" s="157" t="n"/>
      <c r="D142" s="134" t="n"/>
      <c r="E142" s="158">
        <f>IFERROR(IF(D142="","",VLOOKUP(D142,'MASTER DATA'!C5:D19,2,0)),"")</f>
        <v/>
      </c>
      <c r="F142" s="136" t="n"/>
      <c r="G142" s="136" t="n"/>
      <c r="H142" s="134" t="n"/>
      <c r="I142" s="159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9.5" customHeight="1" s="122">
      <c r="A143" s="121" t="n"/>
      <c r="B143" s="143" t="n">
        <v>140</v>
      </c>
      <c r="C143" s="157" t="n"/>
      <c r="D143" s="134" t="n"/>
      <c r="E143" s="160">
        <f>IFERROR(IF(D143="","",VLOOKUP(D143,'MASTER DATA'!C5:D19,2,0)),"")</f>
        <v/>
      </c>
      <c r="F143" s="136" t="n"/>
      <c r="G143" s="136" t="n"/>
      <c r="H143" s="134" t="n"/>
      <c r="I143" s="159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9.5" customHeight="1" s="122">
      <c r="A144" s="121" t="n"/>
      <c r="B144" s="133" t="n">
        <v>141</v>
      </c>
      <c r="C144" s="157" t="n"/>
      <c r="D144" s="134" t="n"/>
      <c r="E144" s="158">
        <f>IFERROR(IF(D144="","",VLOOKUP(D144,'MASTER DATA'!C5:D19,2,0)),"")</f>
        <v/>
      </c>
      <c r="F144" s="136" t="n"/>
      <c r="G144" s="136" t="n"/>
      <c r="H144" s="134" t="n"/>
      <c r="I144" s="159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9.5" customHeight="1" s="122">
      <c r="A145" s="121" t="n"/>
      <c r="B145" s="143" t="n">
        <v>142</v>
      </c>
      <c r="C145" s="157" t="n"/>
      <c r="D145" s="134" t="n"/>
      <c r="E145" s="160">
        <f>IFERROR(IF(D145="","",VLOOKUP(D145,'MASTER DATA'!C5:D19,2,0)),"")</f>
        <v/>
      </c>
      <c r="F145" s="136" t="n"/>
      <c r="G145" s="136" t="n"/>
      <c r="H145" s="134" t="n"/>
      <c r="I145" s="159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9.5" customHeight="1" s="122">
      <c r="A146" s="121" t="n"/>
      <c r="B146" s="133" t="n">
        <v>143</v>
      </c>
      <c r="C146" s="157" t="n"/>
      <c r="D146" s="134" t="n"/>
      <c r="E146" s="158">
        <f>IFERROR(IF(D146="","",VLOOKUP(D146,'MASTER DATA'!C5:D19,2,0)),"")</f>
        <v/>
      </c>
      <c r="F146" s="136" t="n"/>
      <c r="G146" s="136" t="n"/>
      <c r="H146" s="134" t="n"/>
      <c r="I146" s="159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9.5" customHeight="1" s="122">
      <c r="A147" s="121" t="n"/>
      <c r="B147" s="143" t="n">
        <v>144</v>
      </c>
      <c r="C147" s="157" t="n"/>
      <c r="D147" s="134" t="n"/>
      <c r="E147" s="160">
        <f>IFERROR(IF(D147="","",VLOOKUP(D147,'MASTER DATA'!C5:D19,2,0)),"")</f>
        <v/>
      </c>
      <c r="F147" s="136" t="n"/>
      <c r="G147" s="136" t="n"/>
      <c r="H147" s="134" t="n"/>
      <c r="I147" s="159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9.5" customHeight="1" s="122">
      <c r="A148" s="121" t="n"/>
      <c r="B148" s="133" t="n">
        <v>145</v>
      </c>
      <c r="C148" s="157" t="n"/>
      <c r="D148" s="134" t="n"/>
      <c r="E148" s="158">
        <f>IFERROR(IF(D148="","",VLOOKUP(D148,'MASTER DATA'!C5:D19,2,0)),"")</f>
        <v/>
      </c>
      <c r="F148" s="136" t="n"/>
      <c r="G148" s="136" t="n"/>
      <c r="H148" s="134" t="n"/>
      <c r="I148" s="159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9.5" customHeight="1" s="122">
      <c r="A149" s="121" t="n"/>
      <c r="B149" s="143" t="n">
        <v>146</v>
      </c>
      <c r="C149" s="157" t="n"/>
      <c r="D149" s="134" t="n"/>
      <c r="E149" s="160">
        <f>IFERROR(IF(D149="","",VLOOKUP(D149,'MASTER DATA'!C5:D19,2,0)),"")</f>
        <v/>
      </c>
      <c r="F149" s="136" t="n"/>
      <c r="G149" s="136" t="n"/>
      <c r="H149" s="134" t="n"/>
      <c r="I149" s="159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9.5" customHeight="1" s="122">
      <c r="A150" s="121" t="n"/>
      <c r="B150" s="133" t="n">
        <v>147</v>
      </c>
      <c r="C150" s="157" t="n"/>
      <c r="D150" s="134" t="n"/>
      <c r="E150" s="158">
        <f>IFERROR(IF(D150="","",VLOOKUP(D150,'MASTER DATA'!C5:D19,2,0)),"")</f>
        <v/>
      </c>
      <c r="F150" s="136" t="n"/>
      <c r="G150" s="136" t="n"/>
      <c r="H150" s="134" t="n"/>
      <c r="I150" s="159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9.5" customHeight="1" s="122">
      <c r="A151" s="121" t="n"/>
      <c r="B151" s="143" t="n">
        <v>148</v>
      </c>
      <c r="C151" s="157" t="n"/>
      <c r="D151" s="134" t="n"/>
      <c r="E151" s="160">
        <f>IFERROR(IF(D151="","",VLOOKUP(D151,'MASTER DATA'!C5:D19,2,0)),"")</f>
        <v/>
      </c>
      <c r="F151" s="136" t="n"/>
      <c r="G151" s="136" t="n"/>
      <c r="H151" s="134" t="n"/>
      <c r="I151" s="159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9.5" customHeight="1" s="122">
      <c r="A152" s="121" t="n"/>
      <c r="B152" s="133" t="n">
        <v>149</v>
      </c>
      <c r="C152" s="157" t="n"/>
      <c r="D152" s="134" t="n"/>
      <c r="E152" s="158">
        <f>IFERROR(IF(D152="","",VLOOKUP(D152,'MASTER DATA'!C5:D19,2,0)),"")</f>
        <v/>
      </c>
      <c r="F152" s="136" t="n"/>
      <c r="G152" s="136" t="n"/>
      <c r="H152" s="134" t="n"/>
      <c r="I152" s="159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9.5" customHeight="1" s="122">
      <c r="A153" s="121" t="n"/>
      <c r="B153" s="143" t="n">
        <v>150</v>
      </c>
      <c r="C153" s="157" t="n"/>
      <c r="D153" s="134" t="n"/>
      <c r="E153" s="160">
        <f>IFERROR(IF(D153="","",VLOOKUP(D153,'MASTER DATA'!C5:D19,2,0)),"")</f>
        <v/>
      </c>
      <c r="F153" s="136" t="n"/>
      <c r="G153" s="136" t="n"/>
      <c r="H153" s="134" t="n"/>
      <c r="I153" s="159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9.5" customHeight="1" s="122">
      <c r="A154" s="121" t="n"/>
      <c r="B154" s="133" t="n">
        <v>151</v>
      </c>
      <c r="C154" s="157" t="n"/>
      <c r="D154" s="134" t="n"/>
      <c r="E154" s="158">
        <f>IFERROR(IF(D154="","",VLOOKUP(D154,'MASTER DATA'!C5:D19,2,0)),"")</f>
        <v/>
      </c>
      <c r="F154" s="136" t="n"/>
      <c r="G154" s="136" t="n"/>
      <c r="H154" s="134" t="n"/>
      <c r="I154" s="159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9.5" customHeight="1" s="122">
      <c r="A155" s="121" t="n"/>
      <c r="B155" s="143" t="n">
        <v>152</v>
      </c>
      <c r="C155" s="157" t="n"/>
      <c r="D155" s="134" t="n"/>
      <c r="E155" s="160">
        <f>IFERROR(IF(D155="","",VLOOKUP(D155,'MASTER DATA'!C5:D19,2,0)),"")</f>
        <v/>
      </c>
      <c r="F155" s="136" t="n"/>
      <c r="G155" s="136" t="n"/>
      <c r="H155" s="134" t="n"/>
      <c r="I155" s="159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9.5" customHeight="1" s="122">
      <c r="A156" s="121" t="n"/>
      <c r="B156" s="133" t="n">
        <v>153</v>
      </c>
      <c r="C156" s="157" t="n"/>
      <c r="D156" s="134" t="n"/>
      <c r="E156" s="158">
        <f>IFERROR(IF(D156="","",VLOOKUP(D156,'MASTER DATA'!C5:D19,2,0)),"")</f>
        <v/>
      </c>
      <c r="F156" s="136" t="n"/>
      <c r="G156" s="136" t="n"/>
      <c r="H156" s="134" t="n"/>
      <c r="I156" s="159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9.5" customHeight="1" s="122">
      <c r="A157" s="121" t="n"/>
      <c r="B157" s="143" t="n">
        <v>154</v>
      </c>
      <c r="C157" s="157" t="n"/>
      <c r="D157" s="134" t="n"/>
      <c r="E157" s="160">
        <f>IFERROR(IF(D157="","",VLOOKUP(D157,'MASTER DATA'!C5:D19,2,0)),"")</f>
        <v/>
      </c>
      <c r="F157" s="136" t="n"/>
      <c r="G157" s="136" t="n"/>
      <c r="H157" s="134" t="n"/>
      <c r="I157" s="159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9.5" customHeight="1" s="122">
      <c r="A158" s="121" t="n"/>
      <c r="B158" s="133" t="n">
        <v>155</v>
      </c>
      <c r="C158" s="157" t="n"/>
      <c r="D158" s="134" t="n"/>
      <c r="E158" s="158">
        <f>IFERROR(IF(D158="","",VLOOKUP(D158,'MASTER DATA'!C5:D19,2,0)),"")</f>
        <v/>
      </c>
      <c r="F158" s="136" t="n"/>
      <c r="G158" s="136" t="n"/>
      <c r="H158" s="134" t="n"/>
      <c r="I158" s="159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9.5" customHeight="1" s="122">
      <c r="A159" s="121" t="n"/>
      <c r="B159" s="143" t="n">
        <v>156</v>
      </c>
      <c r="C159" s="157" t="n"/>
      <c r="D159" s="134" t="n"/>
      <c r="E159" s="160">
        <f>IFERROR(IF(D159="","",VLOOKUP(D159,'MASTER DATA'!C5:D19,2,0)),"")</f>
        <v/>
      </c>
      <c r="F159" s="136" t="n"/>
      <c r="G159" s="136" t="n"/>
      <c r="H159" s="134" t="n"/>
      <c r="I159" s="159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9.5" customHeight="1" s="122">
      <c r="A160" s="121" t="n"/>
      <c r="B160" s="133" t="n">
        <v>157</v>
      </c>
      <c r="C160" s="157" t="n"/>
      <c r="D160" s="134" t="n"/>
      <c r="E160" s="158">
        <f>IFERROR(IF(D160="","",VLOOKUP(D160,'MASTER DATA'!C5:D19,2,0)),"")</f>
        <v/>
      </c>
      <c r="F160" s="136" t="n"/>
      <c r="G160" s="136" t="n"/>
      <c r="H160" s="134" t="n"/>
      <c r="I160" s="159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9.5" customHeight="1" s="122">
      <c r="A161" s="121" t="n"/>
      <c r="B161" s="143" t="n">
        <v>158</v>
      </c>
      <c r="C161" s="157" t="n"/>
      <c r="D161" s="134" t="n"/>
      <c r="E161" s="160">
        <f>IFERROR(IF(D161="","",VLOOKUP(D161,'MASTER DATA'!C5:D19,2,0)),"")</f>
        <v/>
      </c>
      <c r="F161" s="136" t="n"/>
      <c r="G161" s="136" t="n"/>
      <c r="H161" s="134" t="n"/>
      <c r="I161" s="159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9.5" customHeight="1" s="122">
      <c r="A162" s="121" t="n"/>
      <c r="B162" s="133" t="n">
        <v>159</v>
      </c>
      <c r="C162" s="157" t="n"/>
      <c r="D162" s="134" t="n"/>
      <c r="E162" s="158">
        <f>IFERROR(IF(D162="","",VLOOKUP(D162,'MASTER DATA'!C5:D19,2,0)),"")</f>
        <v/>
      </c>
      <c r="F162" s="136" t="n"/>
      <c r="G162" s="136" t="n"/>
      <c r="H162" s="134" t="n"/>
      <c r="I162" s="159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9.5" customHeight="1" s="122">
      <c r="A163" s="121" t="n"/>
      <c r="B163" s="143" t="n">
        <v>160</v>
      </c>
      <c r="C163" s="157" t="n"/>
      <c r="D163" s="134" t="n"/>
      <c r="E163" s="160">
        <f>IFERROR(IF(D163="","",VLOOKUP(D163,'MASTER DATA'!C5:D19,2,0)),"")</f>
        <v/>
      </c>
      <c r="F163" s="136" t="n"/>
      <c r="G163" s="136" t="n"/>
      <c r="H163" s="134" t="n"/>
      <c r="I163" s="159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9.5" customHeight="1" s="122">
      <c r="A164" s="121" t="n"/>
      <c r="B164" s="133" t="n">
        <v>161</v>
      </c>
      <c r="C164" s="157" t="n"/>
      <c r="D164" s="134" t="n"/>
      <c r="E164" s="158">
        <f>IFERROR(IF(D164="","",VLOOKUP(D164,'MASTER DATA'!C5:D19,2,0)),"")</f>
        <v/>
      </c>
      <c r="F164" s="136" t="n"/>
      <c r="G164" s="136" t="n"/>
      <c r="H164" s="134" t="n"/>
      <c r="I164" s="159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9.5" customHeight="1" s="122">
      <c r="A165" s="121" t="n"/>
      <c r="B165" s="143" t="n">
        <v>162</v>
      </c>
      <c r="C165" s="157" t="n"/>
      <c r="D165" s="134" t="n"/>
      <c r="E165" s="160">
        <f>IFERROR(IF(D165="","",VLOOKUP(D165,'MASTER DATA'!C5:D19,2,0)),"")</f>
        <v/>
      </c>
      <c r="F165" s="136" t="n"/>
      <c r="G165" s="136" t="n"/>
      <c r="H165" s="134" t="n"/>
      <c r="I165" s="159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9.5" customHeight="1" s="122">
      <c r="A166" s="121" t="n"/>
      <c r="B166" s="133" t="n">
        <v>163</v>
      </c>
      <c r="C166" s="157" t="n"/>
      <c r="D166" s="134" t="n"/>
      <c r="E166" s="158">
        <f>IFERROR(IF(D166="","",VLOOKUP(D166,'MASTER DATA'!C5:D19,2,0)),"")</f>
        <v/>
      </c>
      <c r="F166" s="136" t="n"/>
      <c r="G166" s="136" t="n"/>
      <c r="H166" s="134" t="n"/>
      <c r="I166" s="159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9.5" customHeight="1" s="122">
      <c r="A167" s="121" t="n"/>
      <c r="B167" s="143" t="n">
        <v>164</v>
      </c>
      <c r="C167" s="157" t="n"/>
      <c r="D167" s="134" t="n"/>
      <c r="E167" s="160">
        <f>IFERROR(IF(D167="","",VLOOKUP(D167,'MASTER DATA'!C5:D19,2,0)),"")</f>
        <v/>
      </c>
      <c r="F167" s="136" t="n"/>
      <c r="G167" s="136" t="n"/>
      <c r="H167" s="134" t="n"/>
      <c r="I167" s="159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9.5" customHeight="1" s="122">
      <c r="A168" s="121" t="n"/>
      <c r="B168" s="133" t="n">
        <v>165</v>
      </c>
      <c r="C168" s="157" t="n"/>
      <c r="D168" s="134" t="n"/>
      <c r="E168" s="158">
        <f>IFERROR(IF(D168="","",VLOOKUP(D168,'MASTER DATA'!C5:D19,2,0)),"")</f>
        <v/>
      </c>
      <c r="F168" s="136" t="n"/>
      <c r="G168" s="136" t="n"/>
      <c r="H168" s="134" t="n"/>
      <c r="I168" s="159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9.5" customHeight="1" s="122">
      <c r="A169" s="121" t="n"/>
      <c r="B169" s="143" t="n">
        <v>166</v>
      </c>
      <c r="C169" s="157" t="n"/>
      <c r="D169" s="134" t="n"/>
      <c r="E169" s="160">
        <f>IFERROR(IF(D169="","",VLOOKUP(D169,'MASTER DATA'!C5:D19,2,0)),"")</f>
        <v/>
      </c>
      <c r="F169" s="136" t="n"/>
      <c r="G169" s="136" t="n"/>
      <c r="H169" s="134" t="n"/>
      <c r="I169" s="159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9.5" customHeight="1" s="122">
      <c r="A170" s="121" t="n"/>
      <c r="B170" s="133" t="n">
        <v>167</v>
      </c>
      <c r="C170" s="157" t="n"/>
      <c r="D170" s="134" t="n"/>
      <c r="E170" s="158">
        <f>IFERROR(IF(D170="","",VLOOKUP(D170,'MASTER DATA'!C5:D19,2,0)),"")</f>
        <v/>
      </c>
      <c r="F170" s="136" t="n"/>
      <c r="G170" s="136" t="n"/>
      <c r="H170" s="134" t="n"/>
      <c r="I170" s="159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9.5" customHeight="1" s="122">
      <c r="A171" s="121" t="n"/>
      <c r="B171" s="143" t="n">
        <v>168</v>
      </c>
      <c r="C171" s="157" t="n"/>
      <c r="D171" s="134" t="n"/>
      <c r="E171" s="160">
        <f>IFERROR(IF(D171="","",VLOOKUP(D171,'MASTER DATA'!C5:D19,2,0)),"")</f>
        <v/>
      </c>
      <c r="F171" s="136" t="n"/>
      <c r="G171" s="136" t="n"/>
      <c r="H171" s="134" t="n"/>
      <c r="I171" s="159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9.5" customHeight="1" s="122">
      <c r="A172" s="121" t="n"/>
      <c r="B172" s="133" t="n">
        <v>169</v>
      </c>
      <c r="C172" s="157" t="n"/>
      <c r="D172" s="134" t="n"/>
      <c r="E172" s="158">
        <f>IFERROR(IF(D172="","",VLOOKUP(D172,'MASTER DATA'!C5:D19,2,0)),"")</f>
        <v/>
      </c>
      <c r="F172" s="136" t="n"/>
      <c r="G172" s="136" t="n"/>
      <c r="H172" s="134" t="n"/>
      <c r="I172" s="159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9.5" customHeight="1" s="122">
      <c r="A173" s="121" t="n"/>
      <c r="B173" s="143" t="n">
        <v>170</v>
      </c>
      <c r="C173" s="157" t="n"/>
      <c r="D173" s="134" t="n"/>
      <c r="E173" s="160">
        <f>IFERROR(IF(D173="","",VLOOKUP(D173,'MASTER DATA'!C5:D19,2,0)),"")</f>
        <v/>
      </c>
      <c r="F173" s="136" t="n"/>
      <c r="G173" s="136" t="n"/>
      <c r="H173" s="134" t="n"/>
      <c r="I173" s="159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9.5" customHeight="1" s="122">
      <c r="A174" s="121" t="n"/>
      <c r="B174" s="133" t="n">
        <v>171</v>
      </c>
      <c r="C174" s="157" t="n"/>
      <c r="D174" s="134" t="n"/>
      <c r="E174" s="158">
        <f>IFERROR(IF(D174="","",VLOOKUP(D174,'MASTER DATA'!C5:D19,2,0)),"")</f>
        <v/>
      </c>
      <c r="F174" s="136" t="n"/>
      <c r="G174" s="136" t="n"/>
      <c r="H174" s="134" t="n"/>
      <c r="I174" s="159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9.5" customHeight="1" s="122">
      <c r="A175" s="121" t="n"/>
      <c r="B175" s="143" t="n">
        <v>172</v>
      </c>
      <c r="C175" s="157" t="n"/>
      <c r="D175" s="134" t="n"/>
      <c r="E175" s="160">
        <f>IFERROR(IF(D175="","",VLOOKUP(D175,'MASTER DATA'!C5:D19,2,0)),"")</f>
        <v/>
      </c>
      <c r="F175" s="136" t="n"/>
      <c r="G175" s="136" t="n"/>
      <c r="H175" s="134" t="n"/>
      <c r="I175" s="159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9.5" customHeight="1" s="122">
      <c r="A176" s="121" t="n"/>
      <c r="B176" s="133" t="n">
        <v>173</v>
      </c>
      <c r="C176" s="157" t="n"/>
      <c r="D176" s="134" t="n"/>
      <c r="E176" s="158">
        <f>IFERROR(IF(D176="","",VLOOKUP(D176,'MASTER DATA'!C5:D19,2,0)),"")</f>
        <v/>
      </c>
      <c r="F176" s="136" t="n"/>
      <c r="G176" s="136" t="n"/>
      <c r="H176" s="134" t="n"/>
      <c r="I176" s="159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9.5" customHeight="1" s="122">
      <c r="A177" s="121" t="n"/>
      <c r="B177" s="143" t="n">
        <v>174</v>
      </c>
      <c r="C177" s="157" t="n"/>
      <c r="D177" s="134" t="n"/>
      <c r="E177" s="160">
        <f>IFERROR(IF(D177="","",VLOOKUP(D177,'MASTER DATA'!C5:D19,2,0)),"")</f>
        <v/>
      </c>
      <c r="F177" s="136" t="n"/>
      <c r="G177" s="136" t="n"/>
      <c r="H177" s="134" t="n"/>
      <c r="I177" s="159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9.5" customHeight="1" s="122">
      <c r="A178" s="121" t="n"/>
      <c r="B178" s="133" t="n">
        <v>175</v>
      </c>
      <c r="C178" s="157" t="n"/>
      <c r="D178" s="134" t="n"/>
      <c r="E178" s="158">
        <f>IFERROR(IF(D178="","",VLOOKUP(D178,'MASTER DATA'!C5:D19,2,0)),"")</f>
        <v/>
      </c>
      <c r="F178" s="136" t="n"/>
      <c r="G178" s="136" t="n"/>
      <c r="H178" s="134" t="n"/>
      <c r="I178" s="159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9.5" customHeight="1" s="122">
      <c r="A179" s="121" t="n"/>
      <c r="B179" s="143" t="n">
        <v>176</v>
      </c>
      <c r="C179" s="157" t="n"/>
      <c r="D179" s="134" t="n"/>
      <c r="E179" s="160">
        <f>IFERROR(IF(D179="","",VLOOKUP(D179,'MASTER DATA'!C5:D19,2,0)),"")</f>
        <v/>
      </c>
      <c r="F179" s="136" t="n"/>
      <c r="G179" s="136" t="n"/>
      <c r="H179" s="134" t="n"/>
      <c r="I179" s="159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9.5" customHeight="1" s="122">
      <c r="A180" s="121" t="n"/>
      <c r="B180" s="133" t="n">
        <v>177</v>
      </c>
      <c r="C180" s="157" t="n"/>
      <c r="D180" s="134" t="n"/>
      <c r="E180" s="158">
        <f>IFERROR(IF(D180="","",VLOOKUP(D180,'MASTER DATA'!C5:D19,2,0)),"")</f>
        <v/>
      </c>
      <c r="F180" s="136" t="n"/>
      <c r="G180" s="136" t="n"/>
      <c r="H180" s="134" t="n"/>
      <c r="I180" s="159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9.5" customHeight="1" s="122">
      <c r="A181" s="121" t="n"/>
      <c r="B181" s="143" t="n">
        <v>178</v>
      </c>
      <c r="C181" s="157" t="n"/>
      <c r="D181" s="134" t="n"/>
      <c r="E181" s="160">
        <f>IFERROR(IF(D181="","",VLOOKUP(D181,'MASTER DATA'!C5:D19,2,0)),"")</f>
        <v/>
      </c>
      <c r="F181" s="136" t="n"/>
      <c r="G181" s="136" t="n"/>
      <c r="H181" s="134" t="n"/>
      <c r="I181" s="159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9.5" customHeight="1" s="122">
      <c r="A182" s="121" t="n"/>
      <c r="B182" s="133" t="n">
        <v>179</v>
      </c>
      <c r="C182" s="157" t="n"/>
      <c r="D182" s="134" t="n"/>
      <c r="E182" s="158">
        <f>IFERROR(IF(D182="","",VLOOKUP(D182,'MASTER DATA'!C5:D19,2,0)),"")</f>
        <v/>
      </c>
      <c r="F182" s="136" t="n"/>
      <c r="G182" s="136" t="n"/>
      <c r="H182" s="134" t="n"/>
      <c r="I182" s="159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9.5" customHeight="1" s="122">
      <c r="A183" s="121" t="n"/>
      <c r="B183" s="143" t="n">
        <v>180</v>
      </c>
      <c r="C183" s="157" t="n"/>
      <c r="D183" s="134" t="n"/>
      <c r="E183" s="160">
        <f>IFERROR(IF(D183="","",VLOOKUP(D183,'MASTER DATA'!C5:D19,2,0)),"")</f>
        <v/>
      </c>
      <c r="F183" s="136" t="n"/>
      <c r="G183" s="136" t="n"/>
      <c r="H183" s="134" t="n"/>
      <c r="I183" s="159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9.5" customHeight="1" s="122">
      <c r="A184" s="121" t="n"/>
      <c r="B184" s="133" t="n">
        <v>181</v>
      </c>
      <c r="C184" s="157" t="n"/>
      <c r="D184" s="134" t="n"/>
      <c r="E184" s="158">
        <f>IFERROR(IF(D184="","",VLOOKUP(D184,'MASTER DATA'!C5:D19,2,0)),"")</f>
        <v/>
      </c>
      <c r="F184" s="136" t="n"/>
      <c r="G184" s="136" t="n"/>
      <c r="H184" s="134" t="n"/>
      <c r="I184" s="159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9.5" customHeight="1" s="122">
      <c r="A185" s="121" t="n"/>
      <c r="B185" s="143" t="n">
        <v>182</v>
      </c>
      <c r="C185" s="157" t="n"/>
      <c r="D185" s="134" t="n"/>
      <c r="E185" s="160">
        <f>IFERROR(IF(D185="","",VLOOKUP(D185,'MASTER DATA'!C5:D19,2,0)),"")</f>
        <v/>
      </c>
      <c r="F185" s="136" t="n"/>
      <c r="G185" s="136" t="n"/>
      <c r="H185" s="134" t="n"/>
      <c r="I185" s="159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9.5" customHeight="1" s="122">
      <c r="A186" s="121" t="n"/>
      <c r="B186" s="133" t="n">
        <v>183</v>
      </c>
      <c r="C186" s="157" t="n"/>
      <c r="D186" s="134" t="n"/>
      <c r="E186" s="158">
        <f>IFERROR(IF(D186="","",VLOOKUP(D186,'MASTER DATA'!C5:D19,2,0)),"")</f>
        <v/>
      </c>
      <c r="F186" s="136" t="n"/>
      <c r="G186" s="136" t="n"/>
      <c r="H186" s="134" t="n"/>
      <c r="I186" s="159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9.5" customHeight="1" s="122">
      <c r="A187" s="121" t="n"/>
      <c r="B187" s="143" t="n">
        <v>184</v>
      </c>
      <c r="C187" s="157" t="n"/>
      <c r="D187" s="134" t="n"/>
      <c r="E187" s="160">
        <f>IFERROR(IF(D187="","",VLOOKUP(D187,'MASTER DATA'!C5:D19,2,0)),"")</f>
        <v/>
      </c>
      <c r="F187" s="136" t="n"/>
      <c r="G187" s="136" t="n"/>
      <c r="H187" s="134" t="n"/>
      <c r="I187" s="159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9.5" customHeight="1" s="122">
      <c r="A188" s="121" t="n"/>
      <c r="B188" s="133" t="n">
        <v>185</v>
      </c>
      <c r="C188" s="157" t="n"/>
      <c r="D188" s="134" t="n"/>
      <c r="E188" s="158">
        <f>IFERROR(IF(D188="","",VLOOKUP(D188,'MASTER DATA'!C5:D19,2,0)),"")</f>
        <v/>
      </c>
      <c r="F188" s="136" t="n"/>
      <c r="G188" s="136" t="n"/>
      <c r="H188" s="134" t="n"/>
      <c r="I188" s="159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9.5" customHeight="1" s="122">
      <c r="A189" s="121" t="n"/>
      <c r="B189" s="143" t="n">
        <v>186</v>
      </c>
      <c r="C189" s="157" t="n"/>
      <c r="D189" s="134" t="n"/>
      <c r="E189" s="160">
        <f>IFERROR(IF(D189="","",VLOOKUP(D189,'MASTER DATA'!C5:D19,2,0)),"")</f>
        <v/>
      </c>
      <c r="F189" s="136" t="n"/>
      <c r="G189" s="136" t="n"/>
      <c r="H189" s="134" t="n"/>
      <c r="I189" s="159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9.5" customHeight="1" s="122">
      <c r="A190" s="121" t="n"/>
      <c r="B190" s="133" t="n">
        <v>187</v>
      </c>
      <c r="C190" s="157" t="n"/>
      <c r="D190" s="134" t="n"/>
      <c r="E190" s="158">
        <f>IFERROR(IF(D190="","",VLOOKUP(D190,'MASTER DATA'!C5:D19,2,0)),"")</f>
        <v/>
      </c>
      <c r="F190" s="136" t="n"/>
      <c r="G190" s="136" t="n"/>
      <c r="H190" s="134" t="n"/>
      <c r="I190" s="159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9.5" customHeight="1" s="122">
      <c r="A191" s="121" t="n"/>
      <c r="B191" s="143" t="n">
        <v>188</v>
      </c>
      <c r="C191" s="157" t="n"/>
      <c r="D191" s="134" t="n"/>
      <c r="E191" s="160">
        <f>IFERROR(IF(D191="","",VLOOKUP(D191,'MASTER DATA'!C5:D19,2,0)),"")</f>
        <v/>
      </c>
      <c r="F191" s="136" t="n"/>
      <c r="G191" s="136" t="n"/>
      <c r="H191" s="134" t="n"/>
      <c r="I191" s="159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9.5" customHeight="1" s="122">
      <c r="A192" s="121" t="n"/>
      <c r="B192" s="133" t="n">
        <v>189</v>
      </c>
      <c r="C192" s="157" t="n"/>
      <c r="D192" s="134" t="n"/>
      <c r="E192" s="158">
        <f>IFERROR(IF(D192="","",VLOOKUP(D192,'MASTER DATA'!C5:D19,2,0)),"")</f>
        <v/>
      </c>
      <c r="F192" s="136" t="n"/>
      <c r="G192" s="136" t="n"/>
      <c r="H192" s="134" t="n"/>
      <c r="I192" s="159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9.5" customHeight="1" s="122">
      <c r="A193" s="121" t="n"/>
      <c r="B193" s="143" t="n">
        <v>190</v>
      </c>
      <c r="C193" s="157" t="n"/>
      <c r="D193" s="134" t="n"/>
      <c r="E193" s="160">
        <f>IFERROR(IF(D193="","",VLOOKUP(D193,'MASTER DATA'!C5:D19,2,0)),"")</f>
        <v/>
      </c>
      <c r="F193" s="136" t="n"/>
      <c r="G193" s="136" t="n"/>
      <c r="H193" s="134" t="n"/>
      <c r="I193" s="159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9.5" customHeight="1" s="122">
      <c r="A194" s="121" t="n"/>
      <c r="B194" s="133" t="n">
        <v>191</v>
      </c>
      <c r="C194" s="157" t="n"/>
      <c r="D194" s="134" t="n"/>
      <c r="E194" s="158">
        <f>IFERROR(IF(D194="","",VLOOKUP(D194,'MASTER DATA'!C5:D19,2,0)),"")</f>
        <v/>
      </c>
      <c r="F194" s="136" t="n"/>
      <c r="G194" s="136" t="n"/>
      <c r="H194" s="134" t="n"/>
      <c r="I194" s="159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9.5" customHeight="1" s="122">
      <c r="A195" s="121" t="n"/>
      <c r="B195" s="143" t="n">
        <v>192</v>
      </c>
      <c r="C195" s="157" t="n"/>
      <c r="D195" s="134" t="n"/>
      <c r="E195" s="160">
        <f>IFERROR(IF(D195="","",VLOOKUP(D195,'MASTER DATA'!C5:D19,2,0)),"")</f>
        <v/>
      </c>
      <c r="F195" s="136" t="n"/>
      <c r="G195" s="136" t="n"/>
      <c r="H195" s="134" t="n"/>
      <c r="I195" s="159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9.5" customHeight="1" s="122">
      <c r="A196" s="121" t="n"/>
      <c r="B196" s="133" t="n">
        <v>193</v>
      </c>
      <c r="C196" s="157" t="n"/>
      <c r="D196" s="134" t="n"/>
      <c r="E196" s="158">
        <f>IFERROR(IF(D196="","",VLOOKUP(D196,'MASTER DATA'!C5:D19,2,0)),"")</f>
        <v/>
      </c>
      <c r="F196" s="136" t="n"/>
      <c r="G196" s="136" t="n"/>
      <c r="H196" s="134" t="n"/>
      <c r="I196" s="159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9.5" customHeight="1" s="122">
      <c r="A197" s="121" t="n"/>
      <c r="B197" s="143" t="n">
        <v>194</v>
      </c>
      <c r="C197" s="157" t="n"/>
      <c r="D197" s="134" t="n"/>
      <c r="E197" s="160">
        <f>IFERROR(IF(D197="","",VLOOKUP(D197,'MASTER DATA'!C5:D19,2,0)),"")</f>
        <v/>
      </c>
      <c r="F197" s="136" t="n"/>
      <c r="G197" s="136" t="n"/>
      <c r="H197" s="134" t="n"/>
      <c r="I197" s="159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9.5" customHeight="1" s="122">
      <c r="A198" s="121" t="n"/>
      <c r="B198" s="133" t="n">
        <v>195</v>
      </c>
      <c r="C198" s="157" t="n"/>
      <c r="D198" s="134" t="n"/>
      <c r="E198" s="158">
        <f>IFERROR(IF(D198="","",VLOOKUP(D198,'MASTER DATA'!C5:D19,2,0)),"")</f>
        <v/>
      </c>
      <c r="F198" s="136" t="n"/>
      <c r="G198" s="136" t="n"/>
      <c r="H198" s="134" t="n"/>
      <c r="I198" s="159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9.5" customHeight="1" s="122">
      <c r="A199" s="121" t="n"/>
      <c r="B199" s="143" t="n">
        <v>196</v>
      </c>
      <c r="C199" s="157" t="n"/>
      <c r="D199" s="134" t="n"/>
      <c r="E199" s="160">
        <f>IFERROR(IF(D199="","",VLOOKUP(D199,'MASTER DATA'!C5:D19,2,0)),"")</f>
        <v/>
      </c>
      <c r="F199" s="136" t="n"/>
      <c r="G199" s="136" t="n"/>
      <c r="H199" s="134" t="n"/>
      <c r="I199" s="159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9.5" customHeight="1" s="122">
      <c r="A200" s="121" t="n"/>
      <c r="B200" s="133" t="n">
        <v>197</v>
      </c>
      <c r="C200" s="157" t="n"/>
      <c r="D200" s="134" t="n"/>
      <c r="E200" s="158">
        <f>IFERROR(IF(D200="","",VLOOKUP(D200,'MASTER DATA'!C5:D19,2,0)),"")</f>
        <v/>
      </c>
      <c r="F200" s="136" t="n"/>
      <c r="G200" s="136" t="n"/>
      <c r="H200" s="134" t="n"/>
      <c r="I200" s="159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9.5" customHeight="1" s="122">
      <c r="A201" s="121" t="n"/>
      <c r="B201" s="143" t="n">
        <v>198</v>
      </c>
      <c r="C201" s="157" t="n"/>
      <c r="D201" s="134" t="n"/>
      <c r="E201" s="160">
        <f>IFERROR(IF(D201="","",VLOOKUP(D201,'MASTER DATA'!C5:D19,2,0)),"")</f>
        <v/>
      </c>
      <c r="F201" s="136" t="n"/>
      <c r="G201" s="136" t="n"/>
      <c r="H201" s="134" t="n"/>
      <c r="I201" s="159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9.5" customHeight="1" s="122">
      <c r="A202" s="121" t="n"/>
      <c r="B202" s="133" t="n">
        <v>199</v>
      </c>
      <c r="C202" s="157" t="n"/>
      <c r="D202" s="134" t="n"/>
      <c r="E202" s="158">
        <f>IFERROR(IF(D202="","",VLOOKUP(D202,'MASTER DATA'!C5:D19,2,0)),"")</f>
        <v/>
      </c>
      <c r="F202" s="136" t="n"/>
      <c r="G202" s="136" t="n"/>
      <c r="H202" s="134" t="n"/>
      <c r="I202" s="159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9.5" customHeight="1" s="122">
      <c r="A203" s="121" t="n"/>
      <c r="B203" s="143" t="n">
        <v>200</v>
      </c>
      <c r="C203" s="157" t="n"/>
      <c r="D203" s="134" t="n"/>
      <c r="E203" s="160">
        <f>IFERROR(IF(D203="","",VLOOKUP(D203,'MASTER DATA'!C5:D19,2,0)),"")</f>
        <v/>
      </c>
      <c r="F203" s="136" t="n"/>
      <c r="G203" s="136" t="n"/>
      <c r="H203" s="134" t="n"/>
      <c r="I203" s="159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9.5" customHeight="1" s="122">
      <c r="A204" s="121" t="n"/>
      <c r="B204" s="133" t="n">
        <v>201</v>
      </c>
      <c r="C204" s="157" t="n"/>
      <c r="D204" s="134" t="n"/>
      <c r="E204" s="158">
        <f>IFERROR(IF(D204="","",VLOOKUP(D204,'MASTER DATA'!C5:D19,2,0)),"")</f>
        <v/>
      </c>
      <c r="F204" s="136" t="n"/>
      <c r="G204" s="136" t="n"/>
      <c r="H204" s="134" t="n"/>
      <c r="I204" s="159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9.5" customHeight="1" s="122">
      <c r="A205" s="121" t="n"/>
      <c r="B205" s="143" t="n">
        <v>202</v>
      </c>
      <c r="C205" s="157" t="n"/>
      <c r="D205" s="134" t="n"/>
      <c r="E205" s="160">
        <f>IFERROR(IF(D205="","",VLOOKUP(D205,'MASTER DATA'!C5:D19,2,0)),"")</f>
        <v/>
      </c>
      <c r="F205" s="136" t="n"/>
      <c r="G205" s="136" t="n"/>
      <c r="H205" s="134" t="n"/>
      <c r="I205" s="159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9.5" customHeight="1" s="122">
      <c r="A206" s="121" t="n"/>
      <c r="B206" s="133" t="n">
        <v>203</v>
      </c>
      <c r="C206" s="157" t="n"/>
      <c r="D206" s="134" t="n"/>
      <c r="E206" s="158">
        <f>IFERROR(IF(D206="","",VLOOKUP(D206,'MASTER DATA'!C5:D19,2,0)),"")</f>
        <v/>
      </c>
      <c r="F206" s="136" t="n"/>
      <c r="G206" s="136" t="n"/>
      <c r="H206" s="134" t="n"/>
      <c r="I206" s="159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9.5" customHeight="1" s="122">
      <c r="A207" s="121" t="n"/>
      <c r="B207" s="143" t="n">
        <v>204</v>
      </c>
      <c r="C207" s="157" t="n"/>
      <c r="D207" s="134" t="n"/>
      <c r="E207" s="160">
        <f>IFERROR(IF(D207="","",VLOOKUP(D207,'MASTER DATA'!C5:D19,2,0)),"")</f>
        <v/>
      </c>
      <c r="F207" s="136" t="n"/>
      <c r="G207" s="136" t="n"/>
      <c r="H207" s="134" t="n"/>
      <c r="I207" s="159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9.5" customHeight="1" s="122">
      <c r="A208" s="121" t="n"/>
      <c r="B208" s="133" t="n">
        <v>205</v>
      </c>
      <c r="C208" s="157" t="n"/>
      <c r="D208" s="134" t="n"/>
      <c r="E208" s="158">
        <f>IFERROR(IF(D208="","",VLOOKUP(D208,'MASTER DATA'!C5:D19,2,0)),"")</f>
        <v/>
      </c>
      <c r="F208" s="136" t="n"/>
      <c r="G208" s="136" t="n"/>
      <c r="H208" s="134" t="n"/>
      <c r="I208" s="159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9.5" customHeight="1" s="122">
      <c r="A209" s="121" t="n"/>
      <c r="B209" s="143" t="n">
        <v>206</v>
      </c>
      <c r="C209" s="157" t="n"/>
      <c r="D209" s="134" t="n"/>
      <c r="E209" s="160">
        <f>IFERROR(IF(D209="","",VLOOKUP(D209,'MASTER DATA'!C5:D19,2,0)),"")</f>
        <v/>
      </c>
      <c r="F209" s="136" t="n"/>
      <c r="G209" s="136" t="n"/>
      <c r="H209" s="134" t="n"/>
      <c r="I209" s="159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9.5" customHeight="1" s="122">
      <c r="A210" s="121" t="n"/>
      <c r="B210" s="133" t="n">
        <v>207</v>
      </c>
      <c r="C210" s="157" t="n"/>
      <c r="D210" s="134" t="n"/>
      <c r="E210" s="158">
        <f>IFERROR(IF(D210="","",VLOOKUP(D210,'MASTER DATA'!C5:D19,2,0)),"")</f>
        <v/>
      </c>
      <c r="F210" s="136" t="n"/>
      <c r="G210" s="136" t="n"/>
      <c r="H210" s="134" t="n"/>
      <c r="I210" s="159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9.5" customHeight="1" s="122">
      <c r="A211" s="121" t="n"/>
      <c r="B211" s="143" t="n">
        <v>208</v>
      </c>
      <c r="C211" s="157" t="n"/>
      <c r="D211" s="134" t="n"/>
      <c r="E211" s="160">
        <f>IFERROR(IF(D211="","",VLOOKUP(D211,'MASTER DATA'!C5:D19,2,0)),"")</f>
        <v/>
      </c>
      <c r="F211" s="136" t="n"/>
      <c r="G211" s="136" t="n"/>
      <c r="H211" s="134" t="n"/>
      <c r="I211" s="159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9.5" customHeight="1" s="122">
      <c r="A212" s="121" t="n"/>
      <c r="B212" s="133" t="n">
        <v>209</v>
      </c>
      <c r="C212" s="157" t="n"/>
      <c r="D212" s="134" t="n"/>
      <c r="E212" s="158">
        <f>IFERROR(IF(D212="","",VLOOKUP(D212,'MASTER DATA'!C5:D19,2,0)),"")</f>
        <v/>
      </c>
      <c r="F212" s="136" t="n"/>
      <c r="G212" s="136" t="n"/>
      <c r="H212" s="134" t="n"/>
      <c r="I212" s="159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9.5" customHeight="1" s="122">
      <c r="A213" s="121" t="n"/>
      <c r="B213" s="143" t="n">
        <v>210</v>
      </c>
      <c r="C213" s="157" t="n"/>
      <c r="D213" s="134" t="n"/>
      <c r="E213" s="160">
        <f>IFERROR(IF(D213="","",VLOOKUP(D213,'MASTER DATA'!C5:D19,2,0)),"")</f>
        <v/>
      </c>
      <c r="F213" s="136" t="n"/>
      <c r="G213" s="136" t="n"/>
      <c r="H213" s="134" t="n"/>
      <c r="I213" s="159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9.5" customHeight="1" s="122">
      <c r="A214" s="121" t="n"/>
      <c r="B214" s="133" t="n">
        <v>211</v>
      </c>
      <c r="C214" s="157" t="n"/>
      <c r="D214" s="134" t="n"/>
      <c r="E214" s="158">
        <f>IFERROR(IF(D214="","",VLOOKUP(D214,'MASTER DATA'!C5:D19,2,0)),"")</f>
        <v/>
      </c>
      <c r="F214" s="136" t="n"/>
      <c r="G214" s="136" t="n"/>
      <c r="H214" s="134" t="n"/>
      <c r="I214" s="159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9.5" customHeight="1" s="122">
      <c r="A215" s="121" t="n"/>
      <c r="B215" s="143" t="n">
        <v>212</v>
      </c>
      <c r="C215" s="157" t="n"/>
      <c r="D215" s="134" t="n"/>
      <c r="E215" s="160">
        <f>IFERROR(IF(D215="","",VLOOKUP(D215,'MASTER DATA'!C5:D19,2,0)),"")</f>
        <v/>
      </c>
      <c r="F215" s="136" t="n"/>
      <c r="G215" s="136" t="n"/>
      <c r="H215" s="134" t="n"/>
      <c r="I215" s="159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9.5" customHeight="1" s="122">
      <c r="A216" s="121" t="n"/>
      <c r="B216" s="133" t="n">
        <v>213</v>
      </c>
      <c r="C216" s="157" t="n"/>
      <c r="D216" s="134" t="n"/>
      <c r="E216" s="158">
        <f>IFERROR(IF(D216="","",VLOOKUP(D216,'MASTER DATA'!C5:D19,2,0)),"")</f>
        <v/>
      </c>
      <c r="F216" s="136" t="n"/>
      <c r="G216" s="136" t="n"/>
      <c r="H216" s="134" t="n"/>
      <c r="I216" s="159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9.5" customHeight="1" s="122">
      <c r="A217" s="121" t="n"/>
      <c r="B217" s="143" t="n">
        <v>214</v>
      </c>
      <c r="C217" s="157" t="n"/>
      <c r="D217" s="134" t="n"/>
      <c r="E217" s="160">
        <f>IFERROR(IF(D217="","",VLOOKUP(D217,'MASTER DATA'!C5:D19,2,0)),"")</f>
        <v/>
      </c>
      <c r="F217" s="136" t="n"/>
      <c r="G217" s="136" t="n"/>
      <c r="H217" s="134" t="n"/>
      <c r="I217" s="159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9.5" customHeight="1" s="122">
      <c r="A218" s="121" t="n"/>
      <c r="B218" s="133" t="n">
        <v>215</v>
      </c>
      <c r="C218" s="157" t="n"/>
      <c r="D218" s="134" t="n"/>
      <c r="E218" s="158">
        <f>IFERROR(IF(D218="","",VLOOKUP(D218,'MASTER DATA'!C5:D19,2,0)),"")</f>
        <v/>
      </c>
      <c r="F218" s="136" t="n"/>
      <c r="G218" s="136" t="n"/>
      <c r="H218" s="134" t="n"/>
      <c r="I218" s="159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9.5" customHeight="1" s="122">
      <c r="A219" s="121" t="n"/>
      <c r="B219" s="143" t="n">
        <v>216</v>
      </c>
      <c r="C219" s="157" t="n"/>
      <c r="D219" s="134" t="n"/>
      <c r="E219" s="160">
        <f>IFERROR(IF(D219="","",VLOOKUP(D219,'MASTER DATA'!C5:D19,2,0)),"")</f>
        <v/>
      </c>
      <c r="F219" s="136" t="n"/>
      <c r="G219" s="136" t="n"/>
      <c r="H219" s="134" t="n"/>
      <c r="I219" s="159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9.5" customHeight="1" s="122">
      <c r="A220" s="121" t="n"/>
      <c r="B220" s="133" t="n">
        <v>217</v>
      </c>
      <c r="C220" s="157" t="n"/>
      <c r="D220" s="134" t="n"/>
      <c r="E220" s="158">
        <f>IFERROR(IF(D220="","",VLOOKUP(D220,'MASTER DATA'!C5:D19,2,0)),"")</f>
        <v/>
      </c>
      <c r="F220" s="136" t="n"/>
      <c r="G220" s="136" t="n"/>
      <c r="H220" s="134" t="n"/>
      <c r="I220" s="159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9.5" customHeight="1" s="122">
      <c r="A221" s="121" t="n"/>
      <c r="B221" s="143" t="n">
        <v>218</v>
      </c>
      <c r="C221" s="157" t="n"/>
      <c r="D221" s="134" t="n"/>
      <c r="E221" s="160">
        <f>IFERROR(IF(D221="","",VLOOKUP(D221,'MASTER DATA'!C5:D19,2,0)),"")</f>
        <v/>
      </c>
      <c r="F221" s="136" t="n"/>
      <c r="G221" s="136" t="n"/>
      <c r="H221" s="134" t="n"/>
      <c r="I221" s="159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9.5" customHeight="1" s="122">
      <c r="A222" s="121" t="n"/>
      <c r="B222" s="133" t="n">
        <v>219</v>
      </c>
      <c r="C222" s="157" t="n"/>
      <c r="D222" s="134" t="n"/>
      <c r="E222" s="158">
        <f>IFERROR(IF(D222="","",VLOOKUP(D222,'MASTER DATA'!C5:D19,2,0)),"")</f>
        <v/>
      </c>
      <c r="F222" s="136" t="n"/>
      <c r="G222" s="136" t="n"/>
      <c r="H222" s="134" t="n"/>
      <c r="I222" s="159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9.5" customHeight="1" s="122">
      <c r="A223" s="121" t="n"/>
      <c r="B223" s="143" t="n">
        <v>220</v>
      </c>
      <c r="C223" s="157" t="n"/>
      <c r="D223" s="134" t="n"/>
      <c r="E223" s="160">
        <f>IFERROR(IF(D223="","",VLOOKUP(D223,'MASTER DATA'!C5:D19,2,0)),"")</f>
        <v/>
      </c>
      <c r="F223" s="136" t="n"/>
      <c r="G223" s="136" t="n"/>
      <c r="H223" s="134" t="n"/>
      <c r="I223" s="159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9.5" customHeight="1" s="122">
      <c r="A224" s="121" t="n"/>
      <c r="B224" s="133" t="n">
        <v>221</v>
      </c>
      <c r="C224" s="157" t="n"/>
      <c r="D224" s="134" t="n"/>
      <c r="E224" s="158">
        <f>IFERROR(IF(D224="","",VLOOKUP(D224,'MASTER DATA'!C5:D19,2,0)),"")</f>
        <v/>
      </c>
      <c r="F224" s="136" t="n"/>
      <c r="G224" s="136" t="n"/>
      <c r="H224" s="134" t="n"/>
      <c r="I224" s="159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9.5" customHeight="1" s="122">
      <c r="A225" s="121" t="n"/>
      <c r="B225" s="143" t="n">
        <v>222</v>
      </c>
      <c r="C225" s="157" t="n"/>
      <c r="D225" s="134" t="n"/>
      <c r="E225" s="160">
        <f>IFERROR(IF(D225="","",VLOOKUP(D225,'MASTER DATA'!C5:D19,2,0)),"")</f>
        <v/>
      </c>
      <c r="F225" s="136" t="n"/>
      <c r="G225" s="136" t="n"/>
      <c r="H225" s="134" t="n"/>
      <c r="I225" s="159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9.5" customHeight="1" s="122">
      <c r="A226" s="121" t="n"/>
      <c r="B226" s="133" t="n">
        <v>223</v>
      </c>
      <c r="C226" s="157" t="n"/>
      <c r="D226" s="134" t="n"/>
      <c r="E226" s="158">
        <f>IFERROR(IF(D226="","",VLOOKUP(D226,'MASTER DATA'!C5:D19,2,0)),"")</f>
        <v/>
      </c>
      <c r="F226" s="136" t="n"/>
      <c r="G226" s="136" t="n"/>
      <c r="H226" s="134" t="n"/>
      <c r="I226" s="159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9.5" customHeight="1" s="122">
      <c r="A227" s="121" t="n"/>
      <c r="B227" s="143" t="n">
        <v>224</v>
      </c>
      <c r="C227" s="157" t="n"/>
      <c r="D227" s="134" t="n"/>
      <c r="E227" s="160">
        <f>IFERROR(IF(D227="","",VLOOKUP(D227,'MASTER DATA'!C5:D19,2,0)),"")</f>
        <v/>
      </c>
      <c r="F227" s="136" t="n"/>
      <c r="G227" s="136" t="n"/>
      <c r="H227" s="134" t="n"/>
      <c r="I227" s="159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9.5" customHeight="1" s="122">
      <c r="A228" s="121" t="n"/>
      <c r="B228" s="133" t="n">
        <v>225</v>
      </c>
      <c r="C228" s="157" t="n"/>
      <c r="D228" s="134" t="n"/>
      <c r="E228" s="158">
        <f>IFERROR(IF(D228="","",VLOOKUP(D228,'MASTER DATA'!C5:D19,2,0)),"")</f>
        <v/>
      </c>
      <c r="F228" s="136" t="n"/>
      <c r="G228" s="136" t="n"/>
      <c r="H228" s="134" t="n"/>
      <c r="I228" s="159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9.5" customHeight="1" s="122">
      <c r="A229" s="121" t="n"/>
      <c r="B229" s="143" t="n">
        <v>226</v>
      </c>
      <c r="C229" s="157" t="n"/>
      <c r="D229" s="134" t="n"/>
      <c r="E229" s="160">
        <f>IFERROR(IF(D229="","",VLOOKUP(D229,'MASTER DATA'!C5:D19,2,0)),"")</f>
        <v/>
      </c>
      <c r="F229" s="136" t="n"/>
      <c r="G229" s="136" t="n"/>
      <c r="H229" s="134" t="n"/>
      <c r="I229" s="159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9.5" customHeight="1" s="122">
      <c r="A230" s="121" t="n"/>
      <c r="B230" s="133" t="n">
        <v>227</v>
      </c>
      <c r="C230" s="157" t="n"/>
      <c r="D230" s="134" t="n"/>
      <c r="E230" s="158">
        <f>IFERROR(IF(D230="","",VLOOKUP(D230,'MASTER DATA'!C5:D19,2,0)),"")</f>
        <v/>
      </c>
      <c r="F230" s="136" t="n"/>
      <c r="G230" s="136" t="n"/>
      <c r="H230" s="134" t="n"/>
      <c r="I230" s="159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9.5" customHeight="1" s="122">
      <c r="A231" s="121" t="n"/>
      <c r="B231" s="143" t="n">
        <v>228</v>
      </c>
      <c r="C231" s="157" t="n"/>
      <c r="D231" s="134" t="n"/>
      <c r="E231" s="160">
        <f>IFERROR(IF(D231="","",VLOOKUP(D231,'MASTER DATA'!C5:D19,2,0)),"")</f>
        <v/>
      </c>
      <c r="F231" s="136" t="n"/>
      <c r="G231" s="136" t="n"/>
      <c r="H231" s="134" t="n"/>
      <c r="I231" s="159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9.5" customHeight="1" s="122">
      <c r="A232" s="121" t="n"/>
      <c r="B232" s="133" t="n">
        <v>229</v>
      </c>
      <c r="C232" s="157" t="n"/>
      <c r="D232" s="134" t="n"/>
      <c r="E232" s="158">
        <f>IFERROR(IF(D232="","",VLOOKUP(D232,'MASTER DATA'!C5:D19,2,0)),"")</f>
        <v/>
      </c>
      <c r="F232" s="136" t="n"/>
      <c r="G232" s="136" t="n"/>
      <c r="H232" s="134" t="n"/>
      <c r="I232" s="159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9.5" customHeight="1" s="122">
      <c r="A233" s="121" t="n"/>
      <c r="B233" s="143" t="n">
        <v>230</v>
      </c>
      <c r="C233" s="157" t="n"/>
      <c r="D233" s="134" t="n"/>
      <c r="E233" s="160">
        <f>IFERROR(IF(D233="","",VLOOKUP(D233,'MASTER DATA'!C5:D19,2,0)),"")</f>
        <v/>
      </c>
      <c r="F233" s="136" t="n"/>
      <c r="G233" s="136" t="n"/>
      <c r="H233" s="134" t="n"/>
      <c r="I233" s="159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9.5" customHeight="1" s="122">
      <c r="A234" s="121" t="n"/>
      <c r="B234" s="133" t="n">
        <v>231</v>
      </c>
      <c r="C234" s="157" t="n"/>
      <c r="D234" s="134" t="n"/>
      <c r="E234" s="158">
        <f>IFERROR(IF(D234="","",VLOOKUP(D234,'MASTER DATA'!C5:D19,2,0)),"")</f>
        <v/>
      </c>
      <c r="F234" s="136" t="n"/>
      <c r="G234" s="136" t="n"/>
      <c r="H234" s="134" t="n"/>
      <c r="I234" s="159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9.5" customHeight="1" s="122">
      <c r="A235" s="121" t="n"/>
      <c r="B235" s="143" t="n">
        <v>232</v>
      </c>
      <c r="C235" s="157" t="n"/>
      <c r="D235" s="134" t="n"/>
      <c r="E235" s="160">
        <f>IFERROR(IF(D235="","",VLOOKUP(D235,'MASTER DATA'!C5:D19,2,0)),"")</f>
        <v/>
      </c>
      <c r="F235" s="136" t="n"/>
      <c r="G235" s="136" t="n"/>
      <c r="H235" s="134" t="n"/>
      <c r="I235" s="159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9.5" customHeight="1" s="122">
      <c r="A236" s="121" t="n"/>
      <c r="B236" s="133" t="n">
        <v>233</v>
      </c>
      <c r="C236" s="157" t="n"/>
      <c r="D236" s="134" t="n"/>
      <c r="E236" s="158">
        <f>IFERROR(IF(D236="","",VLOOKUP(D236,'MASTER DATA'!C5:D19,2,0)),"")</f>
        <v/>
      </c>
      <c r="F236" s="136" t="n"/>
      <c r="G236" s="136" t="n"/>
      <c r="H236" s="134" t="n"/>
      <c r="I236" s="159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9.5" customHeight="1" s="122">
      <c r="A237" s="121" t="n"/>
      <c r="B237" s="143" t="n">
        <v>234</v>
      </c>
      <c r="C237" s="157" t="n"/>
      <c r="D237" s="134" t="n"/>
      <c r="E237" s="160">
        <f>IFERROR(IF(D237="","",VLOOKUP(D237,'MASTER DATA'!C5:D19,2,0)),"")</f>
        <v/>
      </c>
      <c r="F237" s="136" t="n"/>
      <c r="G237" s="136" t="n"/>
      <c r="H237" s="134" t="n"/>
      <c r="I237" s="159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9.5" customHeight="1" s="122">
      <c r="A238" s="121" t="n"/>
      <c r="B238" s="133" t="n">
        <v>235</v>
      </c>
      <c r="C238" s="157" t="n"/>
      <c r="D238" s="134" t="n"/>
      <c r="E238" s="158">
        <f>IFERROR(IF(D238="","",VLOOKUP(D238,'MASTER DATA'!C5:D19,2,0)),"")</f>
        <v/>
      </c>
      <c r="F238" s="136" t="n"/>
      <c r="G238" s="136" t="n"/>
      <c r="H238" s="134" t="n"/>
      <c r="I238" s="159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9.5" customHeight="1" s="122">
      <c r="A239" s="121" t="n"/>
      <c r="B239" s="143" t="n">
        <v>236</v>
      </c>
      <c r="C239" s="157" t="n"/>
      <c r="D239" s="134" t="n"/>
      <c r="E239" s="160">
        <f>IFERROR(IF(D239="","",VLOOKUP(D239,'MASTER DATA'!C5:D19,2,0)),"")</f>
        <v/>
      </c>
      <c r="F239" s="136" t="n"/>
      <c r="G239" s="136" t="n"/>
      <c r="H239" s="134" t="n"/>
      <c r="I239" s="159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9.5" customHeight="1" s="122">
      <c r="A240" s="121" t="n"/>
      <c r="B240" s="133" t="n">
        <v>237</v>
      </c>
      <c r="C240" s="157" t="n"/>
      <c r="D240" s="134" t="n"/>
      <c r="E240" s="158">
        <f>IFERROR(IF(D240="","",VLOOKUP(D240,'MASTER DATA'!C5:D19,2,0)),"")</f>
        <v/>
      </c>
      <c r="F240" s="136" t="n"/>
      <c r="G240" s="136" t="n"/>
      <c r="H240" s="134" t="n"/>
      <c r="I240" s="159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9.5" customHeight="1" s="122">
      <c r="A241" s="121" t="n"/>
      <c r="B241" s="143" t="n">
        <v>238</v>
      </c>
      <c r="C241" s="157" t="n"/>
      <c r="D241" s="134" t="n"/>
      <c r="E241" s="160">
        <f>IFERROR(IF(D241="","",VLOOKUP(D241,'MASTER DATA'!C5:D19,2,0)),"")</f>
        <v/>
      </c>
      <c r="F241" s="136" t="n"/>
      <c r="G241" s="136" t="n"/>
      <c r="H241" s="134" t="n"/>
      <c r="I241" s="159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9.5" customHeight="1" s="122">
      <c r="A242" s="121" t="n"/>
      <c r="B242" s="133" t="n">
        <v>239</v>
      </c>
      <c r="C242" s="157" t="n"/>
      <c r="D242" s="134" t="n"/>
      <c r="E242" s="158">
        <f>IFERROR(IF(D242="","",VLOOKUP(D242,'MASTER DATA'!C5:D19,2,0)),"")</f>
        <v/>
      </c>
      <c r="F242" s="136" t="n"/>
      <c r="G242" s="136" t="n"/>
      <c r="H242" s="134" t="n"/>
      <c r="I242" s="159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9.5" customHeight="1" s="122">
      <c r="A243" s="121" t="n"/>
      <c r="B243" s="143" t="n">
        <v>240</v>
      </c>
      <c r="C243" s="157" t="n"/>
      <c r="D243" s="134" t="n"/>
      <c r="E243" s="160">
        <f>IFERROR(IF(D243="","",VLOOKUP(D243,'MASTER DATA'!C5:D19,2,0)),"")</f>
        <v/>
      </c>
      <c r="F243" s="136" t="n"/>
      <c r="G243" s="136" t="n"/>
      <c r="H243" s="134" t="n"/>
      <c r="I243" s="159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9.5" customHeight="1" s="122">
      <c r="A244" s="121" t="n"/>
      <c r="B244" s="133" t="n">
        <v>241</v>
      </c>
      <c r="C244" s="157" t="n"/>
      <c r="D244" s="134" t="n"/>
      <c r="E244" s="158">
        <f>IFERROR(IF(D244="","",VLOOKUP(D244,'MASTER DATA'!C5:D19,2,0)),"")</f>
        <v/>
      </c>
      <c r="F244" s="136" t="n"/>
      <c r="G244" s="136" t="n"/>
      <c r="H244" s="134" t="n"/>
      <c r="I244" s="159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9.5" customHeight="1" s="122">
      <c r="A245" s="121" t="n"/>
      <c r="B245" s="143" t="n">
        <v>242</v>
      </c>
      <c r="C245" s="157" t="n"/>
      <c r="D245" s="134" t="n"/>
      <c r="E245" s="160">
        <f>IFERROR(IF(D245="","",VLOOKUP(D245,'MASTER DATA'!C5:D19,2,0)),"")</f>
        <v/>
      </c>
      <c r="F245" s="136" t="n"/>
      <c r="G245" s="136" t="n"/>
      <c r="H245" s="134" t="n"/>
      <c r="I245" s="159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9.5" customHeight="1" s="122">
      <c r="A246" s="121" t="n"/>
      <c r="B246" s="133" t="n">
        <v>243</v>
      </c>
      <c r="C246" s="157" t="n"/>
      <c r="D246" s="134" t="n"/>
      <c r="E246" s="158">
        <f>IFERROR(IF(D246="","",VLOOKUP(D246,'MASTER DATA'!C5:D19,2,0)),"")</f>
        <v/>
      </c>
      <c r="F246" s="136" t="n"/>
      <c r="G246" s="136" t="n"/>
      <c r="H246" s="134" t="n"/>
      <c r="I246" s="159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9.5" customHeight="1" s="122">
      <c r="A247" s="121" t="n"/>
      <c r="B247" s="143" t="n">
        <v>244</v>
      </c>
      <c r="C247" s="157" t="n"/>
      <c r="D247" s="134" t="n"/>
      <c r="E247" s="160">
        <f>IFERROR(IF(D247="","",VLOOKUP(D247,'MASTER DATA'!C5:D19,2,0)),"")</f>
        <v/>
      </c>
      <c r="F247" s="136" t="n"/>
      <c r="G247" s="136" t="n"/>
      <c r="H247" s="134" t="n"/>
      <c r="I247" s="159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9.5" customHeight="1" s="122">
      <c r="A248" s="121" t="n"/>
      <c r="B248" s="133" t="n">
        <v>245</v>
      </c>
      <c r="C248" s="157" t="n"/>
      <c r="D248" s="134" t="n"/>
      <c r="E248" s="158">
        <f>IFERROR(IF(D248="","",VLOOKUP(D248,'MASTER DATA'!C5:D19,2,0)),"")</f>
        <v/>
      </c>
      <c r="F248" s="136" t="n"/>
      <c r="G248" s="136" t="n"/>
      <c r="H248" s="134" t="n"/>
      <c r="I248" s="159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9.5" customHeight="1" s="122">
      <c r="A249" s="121" t="n"/>
      <c r="B249" s="143" t="n">
        <v>246</v>
      </c>
      <c r="C249" s="157" t="n"/>
      <c r="D249" s="134" t="n"/>
      <c r="E249" s="160">
        <f>IFERROR(IF(D249="","",VLOOKUP(D249,'MASTER DATA'!C5:D19,2,0)),"")</f>
        <v/>
      </c>
      <c r="F249" s="136" t="n"/>
      <c r="G249" s="136" t="n"/>
      <c r="H249" s="134" t="n"/>
      <c r="I249" s="159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9.5" customHeight="1" s="122">
      <c r="A250" s="121" t="n"/>
      <c r="B250" s="133" t="n">
        <v>247</v>
      </c>
      <c r="C250" s="157" t="n"/>
      <c r="D250" s="134" t="n"/>
      <c r="E250" s="158">
        <f>IFERROR(IF(D250="","",VLOOKUP(D250,'MASTER DATA'!C5:D19,2,0)),"")</f>
        <v/>
      </c>
      <c r="F250" s="136" t="n"/>
      <c r="G250" s="136" t="n"/>
      <c r="H250" s="134" t="n"/>
      <c r="I250" s="159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9.5" customHeight="1" s="122">
      <c r="A251" s="121" t="n"/>
      <c r="B251" s="143" t="n">
        <v>248</v>
      </c>
      <c r="C251" s="157" t="n"/>
      <c r="D251" s="134" t="n"/>
      <c r="E251" s="160">
        <f>IFERROR(IF(D251="","",VLOOKUP(D251,'MASTER DATA'!C5:D19,2,0)),"")</f>
        <v/>
      </c>
      <c r="F251" s="136" t="n"/>
      <c r="G251" s="136" t="n"/>
      <c r="H251" s="134" t="n"/>
      <c r="I251" s="159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9.5" customHeight="1" s="122">
      <c r="A252" s="121" t="n"/>
      <c r="B252" s="133" t="n">
        <v>249</v>
      </c>
      <c r="C252" s="157" t="n"/>
      <c r="D252" s="134" t="n"/>
      <c r="E252" s="158">
        <f>IFERROR(IF(D252="","",VLOOKUP(D252,'MASTER DATA'!C5:D19,2,0)),"")</f>
        <v/>
      </c>
      <c r="F252" s="136" t="n"/>
      <c r="G252" s="136" t="n"/>
      <c r="H252" s="134" t="n"/>
      <c r="I252" s="159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9.5" customHeight="1" s="122">
      <c r="A253" s="121" t="n"/>
      <c r="B253" s="143" t="n">
        <v>250</v>
      </c>
      <c r="C253" s="157" t="n"/>
      <c r="D253" s="134" t="n"/>
      <c r="E253" s="160">
        <f>IFERROR(IF(D253="","",VLOOKUP(D253,'MASTER DATA'!C5:D19,2,0)),"")</f>
        <v/>
      </c>
      <c r="F253" s="136" t="n"/>
      <c r="G253" s="136" t="n"/>
      <c r="H253" s="134" t="n"/>
      <c r="I253" s="159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9.5" customHeight="1" s="122">
      <c r="A254" s="121" t="n"/>
      <c r="B254" s="133" t="n">
        <v>251</v>
      </c>
      <c r="C254" s="157" t="n"/>
      <c r="D254" s="134" t="n"/>
      <c r="E254" s="158">
        <f>IFERROR(IF(D254="","",VLOOKUP(D254,'MASTER DATA'!C5:D19,2,0)),"")</f>
        <v/>
      </c>
      <c r="F254" s="136" t="n"/>
      <c r="G254" s="136" t="n"/>
      <c r="H254" s="134" t="n"/>
      <c r="I254" s="159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9.5" customHeight="1" s="122">
      <c r="A255" s="121" t="n"/>
      <c r="B255" s="143" t="n">
        <v>252</v>
      </c>
      <c r="C255" s="157" t="n"/>
      <c r="D255" s="134" t="n"/>
      <c r="E255" s="160">
        <f>IFERROR(IF(D255="","",VLOOKUP(D255,'MASTER DATA'!C5:D19,2,0)),"")</f>
        <v/>
      </c>
      <c r="F255" s="136" t="n"/>
      <c r="G255" s="136" t="n"/>
      <c r="H255" s="134" t="n"/>
      <c r="I255" s="159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9.5" customHeight="1" s="122">
      <c r="A256" s="121" t="n"/>
      <c r="B256" s="133" t="n">
        <v>253</v>
      </c>
      <c r="C256" s="157" t="n"/>
      <c r="D256" s="134" t="n"/>
      <c r="E256" s="158">
        <f>IFERROR(IF(D256="","",VLOOKUP(D256,'MASTER DATA'!C5:D19,2,0)),"")</f>
        <v/>
      </c>
      <c r="F256" s="136" t="n"/>
      <c r="G256" s="136" t="n"/>
      <c r="H256" s="134" t="n"/>
      <c r="I256" s="159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9.5" customHeight="1" s="122">
      <c r="A257" s="121" t="n"/>
      <c r="B257" s="143" t="n">
        <v>254</v>
      </c>
      <c r="C257" s="157" t="n"/>
      <c r="D257" s="134" t="n"/>
      <c r="E257" s="160">
        <f>IFERROR(IF(D257="","",VLOOKUP(D257,'MASTER DATA'!C5:D19,2,0)),"")</f>
        <v/>
      </c>
      <c r="F257" s="136" t="n"/>
      <c r="G257" s="136" t="n"/>
      <c r="H257" s="134" t="n"/>
      <c r="I257" s="159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9.5" customHeight="1" s="122">
      <c r="A258" s="121" t="n"/>
      <c r="B258" s="133" t="n">
        <v>255</v>
      </c>
      <c r="C258" s="157" t="n"/>
      <c r="D258" s="134" t="n"/>
      <c r="E258" s="158">
        <f>IFERROR(IF(D258="","",VLOOKUP(D258,'MASTER DATA'!C5:D19,2,0)),"")</f>
        <v/>
      </c>
      <c r="F258" s="136" t="n"/>
      <c r="G258" s="136" t="n"/>
      <c r="H258" s="134" t="n"/>
      <c r="I258" s="159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9.5" customHeight="1" s="122">
      <c r="A259" s="121" t="n"/>
      <c r="B259" s="143" t="n">
        <v>256</v>
      </c>
      <c r="C259" s="157" t="n"/>
      <c r="D259" s="134" t="n"/>
      <c r="E259" s="160">
        <f>IFERROR(IF(D259="","",VLOOKUP(D259,'MASTER DATA'!C5:D19,2,0)),"")</f>
        <v/>
      </c>
      <c r="F259" s="136" t="n"/>
      <c r="G259" s="136" t="n"/>
      <c r="H259" s="134" t="n"/>
      <c r="I259" s="159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9.5" customHeight="1" s="122">
      <c r="A260" s="121" t="n"/>
      <c r="B260" s="133" t="n">
        <v>257</v>
      </c>
      <c r="C260" s="157" t="n"/>
      <c r="D260" s="134" t="n"/>
      <c r="E260" s="158">
        <f>IFERROR(IF(D260="","",VLOOKUP(D260,'MASTER DATA'!C5:D19,2,0)),"")</f>
        <v/>
      </c>
      <c r="F260" s="136" t="n"/>
      <c r="G260" s="136" t="n"/>
      <c r="H260" s="134" t="n"/>
      <c r="I260" s="159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9.5" customHeight="1" s="122">
      <c r="A261" s="121" t="n"/>
      <c r="B261" s="143" t="n">
        <v>258</v>
      </c>
      <c r="C261" s="157" t="n"/>
      <c r="D261" s="134" t="n"/>
      <c r="E261" s="160">
        <f>IFERROR(IF(D261="","",VLOOKUP(D261,'MASTER DATA'!C5:D19,2,0)),"")</f>
        <v/>
      </c>
      <c r="F261" s="136" t="n"/>
      <c r="G261" s="136" t="n"/>
      <c r="H261" s="134" t="n"/>
      <c r="I261" s="159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9.5" customHeight="1" s="122">
      <c r="A262" s="121" t="n"/>
      <c r="B262" s="133" t="n">
        <v>259</v>
      </c>
      <c r="C262" s="157" t="n"/>
      <c r="D262" s="134" t="n"/>
      <c r="E262" s="158">
        <f>IFERROR(IF(D262="","",VLOOKUP(D262,'MASTER DATA'!C5:D19,2,0)),"")</f>
        <v/>
      </c>
      <c r="F262" s="136" t="n"/>
      <c r="G262" s="136" t="n"/>
      <c r="H262" s="134" t="n"/>
      <c r="I262" s="159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9.5" customHeight="1" s="122">
      <c r="A263" s="121" t="n"/>
      <c r="B263" s="143" t="n">
        <v>260</v>
      </c>
      <c r="C263" s="157" t="n"/>
      <c r="D263" s="134" t="n"/>
      <c r="E263" s="160">
        <f>IFERROR(IF(D263="","",VLOOKUP(D263,'MASTER DATA'!C5:D19,2,0)),"")</f>
        <v/>
      </c>
      <c r="F263" s="136" t="n"/>
      <c r="G263" s="136" t="n"/>
      <c r="H263" s="134" t="n"/>
      <c r="I263" s="159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9.5" customHeight="1" s="122">
      <c r="A264" s="121" t="n"/>
      <c r="B264" s="133" t="n">
        <v>261</v>
      </c>
      <c r="C264" s="157" t="n"/>
      <c r="D264" s="134" t="n"/>
      <c r="E264" s="158">
        <f>IFERROR(IF(D264="","",VLOOKUP(D264,'MASTER DATA'!C5:D19,2,0)),"")</f>
        <v/>
      </c>
      <c r="F264" s="136" t="n"/>
      <c r="G264" s="136" t="n"/>
      <c r="H264" s="134" t="n"/>
      <c r="I264" s="159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9.5" customHeight="1" s="122">
      <c r="A265" s="121" t="n"/>
      <c r="B265" s="143" t="n">
        <v>262</v>
      </c>
      <c r="C265" s="157" t="n"/>
      <c r="D265" s="134" t="n"/>
      <c r="E265" s="160">
        <f>IFERROR(IF(D265="","",VLOOKUP(D265,'MASTER DATA'!C5:D19,2,0)),"")</f>
        <v/>
      </c>
      <c r="F265" s="136" t="n"/>
      <c r="G265" s="136" t="n"/>
      <c r="H265" s="134" t="n"/>
      <c r="I265" s="159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9.5" customHeight="1" s="122">
      <c r="A266" s="121" t="n"/>
      <c r="B266" s="133" t="n">
        <v>263</v>
      </c>
      <c r="C266" s="157" t="n"/>
      <c r="D266" s="134" t="n"/>
      <c r="E266" s="158">
        <f>IFERROR(IF(D266="","",VLOOKUP(D266,'MASTER DATA'!C5:D19,2,0)),"")</f>
        <v/>
      </c>
      <c r="F266" s="136" t="n"/>
      <c r="G266" s="136" t="n"/>
      <c r="H266" s="134" t="n"/>
      <c r="I266" s="159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9.5" customHeight="1" s="122">
      <c r="A267" s="121" t="n"/>
      <c r="B267" s="143" t="n">
        <v>264</v>
      </c>
      <c r="C267" s="157" t="n"/>
      <c r="D267" s="134" t="n"/>
      <c r="E267" s="160">
        <f>IFERROR(IF(D267="","",VLOOKUP(D267,'MASTER DATA'!C5:D19,2,0)),"")</f>
        <v/>
      </c>
      <c r="F267" s="136" t="n"/>
      <c r="G267" s="136" t="n"/>
      <c r="H267" s="134" t="n"/>
      <c r="I267" s="159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9.5" customHeight="1" s="122">
      <c r="A268" s="121" t="n"/>
      <c r="B268" s="133" t="n">
        <v>265</v>
      </c>
      <c r="C268" s="157" t="n"/>
      <c r="D268" s="134" t="n"/>
      <c r="E268" s="158">
        <f>IFERROR(IF(D268="","",VLOOKUP(D268,'MASTER DATA'!C5:D19,2,0)),"")</f>
        <v/>
      </c>
      <c r="F268" s="136" t="n"/>
      <c r="G268" s="136" t="n"/>
      <c r="H268" s="134" t="n"/>
      <c r="I268" s="159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9.5" customHeight="1" s="122">
      <c r="A269" s="121" t="n"/>
      <c r="B269" s="143" t="n">
        <v>266</v>
      </c>
      <c r="C269" s="157" t="n"/>
      <c r="D269" s="134" t="n"/>
      <c r="E269" s="160">
        <f>IFERROR(IF(D269="","",VLOOKUP(D269,'MASTER DATA'!C5:D19,2,0)),"")</f>
        <v/>
      </c>
      <c r="F269" s="136" t="n"/>
      <c r="G269" s="136" t="n"/>
      <c r="H269" s="134" t="n"/>
      <c r="I269" s="159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9.5" customHeight="1" s="122">
      <c r="A270" s="121" t="n"/>
      <c r="B270" s="133" t="n">
        <v>267</v>
      </c>
      <c r="C270" s="157" t="n"/>
      <c r="D270" s="134" t="n"/>
      <c r="E270" s="158">
        <f>IFERROR(IF(D270="","",VLOOKUP(D270,'MASTER DATA'!C5:D19,2,0)),"")</f>
        <v/>
      </c>
      <c r="F270" s="136" t="n"/>
      <c r="G270" s="136" t="n"/>
      <c r="H270" s="134" t="n"/>
      <c r="I270" s="159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9.5" customHeight="1" s="122">
      <c r="A271" s="121" t="n"/>
      <c r="B271" s="143" t="n">
        <v>268</v>
      </c>
      <c r="C271" s="157" t="n"/>
      <c r="D271" s="134" t="n"/>
      <c r="E271" s="160">
        <f>IFERROR(IF(D271="","",VLOOKUP(D271,'MASTER DATA'!C5:D19,2,0)),"")</f>
        <v/>
      </c>
      <c r="F271" s="136" t="n"/>
      <c r="G271" s="136" t="n"/>
      <c r="H271" s="134" t="n"/>
      <c r="I271" s="159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9.5" customHeight="1" s="122">
      <c r="A272" s="121" t="n"/>
      <c r="B272" s="133" t="n">
        <v>269</v>
      </c>
      <c r="C272" s="157" t="n"/>
      <c r="D272" s="134" t="n"/>
      <c r="E272" s="158">
        <f>IFERROR(IF(D272="","",VLOOKUP(D272,'MASTER DATA'!C5:D19,2,0)),"")</f>
        <v/>
      </c>
      <c r="F272" s="136" t="n"/>
      <c r="G272" s="136" t="n"/>
      <c r="H272" s="134" t="n"/>
      <c r="I272" s="159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9.5" customHeight="1" s="122">
      <c r="A273" s="121" t="n"/>
      <c r="B273" s="143" t="n">
        <v>270</v>
      </c>
      <c r="C273" s="157" t="n"/>
      <c r="D273" s="134" t="n"/>
      <c r="E273" s="160">
        <f>IFERROR(IF(D273="","",VLOOKUP(D273,'MASTER DATA'!C5:D19,2,0)),"")</f>
        <v/>
      </c>
      <c r="F273" s="136" t="n"/>
      <c r="G273" s="136" t="n"/>
      <c r="H273" s="134" t="n"/>
      <c r="I273" s="159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9.5" customHeight="1" s="122">
      <c r="A274" s="121" t="n"/>
      <c r="B274" s="133" t="n">
        <v>271</v>
      </c>
      <c r="C274" s="157" t="n"/>
      <c r="D274" s="134" t="n"/>
      <c r="E274" s="158">
        <f>IFERROR(IF(D274="","",VLOOKUP(D274,'MASTER DATA'!C5:D19,2,0)),"")</f>
        <v/>
      </c>
      <c r="F274" s="136" t="n"/>
      <c r="G274" s="136" t="n"/>
      <c r="H274" s="134" t="n"/>
      <c r="I274" s="159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9.5" customHeight="1" s="122">
      <c r="A275" s="121" t="n"/>
      <c r="B275" s="143" t="n">
        <v>272</v>
      </c>
      <c r="C275" s="157" t="n"/>
      <c r="D275" s="134" t="n"/>
      <c r="E275" s="160">
        <f>IFERROR(IF(D275="","",VLOOKUP(D275,'MASTER DATA'!C5:D19,2,0)),"")</f>
        <v/>
      </c>
      <c r="F275" s="136" t="n"/>
      <c r="G275" s="136" t="n"/>
      <c r="H275" s="134" t="n"/>
      <c r="I275" s="159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9.5" customHeight="1" s="122">
      <c r="A276" s="121" t="n"/>
      <c r="B276" s="133" t="n">
        <v>273</v>
      </c>
      <c r="C276" s="157" t="n"/>
      <c r="D276" s="134" t="n"/>
      <c r="E276" s="158">
        <f>IFERROR(IF(D276="","",VLOOKUP(D276,'MASTER DATA'!C5:D19,2,0)),"")</f>
        <v/>
      </c>
      <c r="F276" s="136" t="n"/>
      <c r="G276" s="136" t="n"/>
      <c r="H276" s="134" t="n"/>
      <c r="I276" s="159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9.5" customHeight="1" s="122">
      <c r="A277" s="121" t="n"/>
      <c r="B277" s="143" t="n">
        <v>274</v>
      </c>
      <c r="C277" s="157" t="n"/>
      <c r="D277" s="134" t="n"/>
      <c r="E277" s="160">
        <f>IFERROR(IF(D277="","",VLOOKUP(D277,'MASTER DATA'!C5:D19,2,0)),"")</f>
        <v/>
      </c>
      <c r="F277" s="136" t="n"/>
      <c r="G277" s="136" t="n"/>
      <c r="H277" s="134" t="n"/>
      <c r="I277" s="159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9.5" customHeight="1" s="122">
      <c r="A278" s="121" t="n"/>
      <c r="B278" s="133" t="n">
        <v>275</v>
      </c>
      <c r="C278" s="157" t="n"/>
      <c r="D278" s="134" t="n"/>
      <c r="E278" s="158">
        <f>IFERROR(IF(D278="","",VLOOKUP(D278,'MASTER DATA'!C5:D19,2,0)),"")</f>
        <v/>
      </c>
      <c r="F278" s="136" t="n"/>
      <c r="G278" s="136" t="n"/>
      <c r="H278" s="134" t="n"/>
      <c r="I278" s="159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9.5" customHeight="1" s="122">
      <c r="A279" s="121" t="n"/>
      <c r="B279" s="143" t="n">
        <v>276</v>
      </c>
      <c r="C279" s="157" t="n"/>
      <c r="D279" s="134" t="n"/>
      <c r="E279" s="160">
        <f>IFERROR(IF(D279="","",VLOOKUP(D279,'MASTER DATA'!C5:D19,2,0)),"")</f>
        <v/>
      </c>
      <c r="F279" s="136" t="n"/>
      <c r="G279" s="136" t="n"/>
      <c r="H279" s="134" t="n"/>
      <c r="I279" s="159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9.5" customHeight="1" s="122">
      <c r="A280" s="121" t="n"/>
      <c r="B280" s="133" t="n">
        <v>277</v>
      </c>
      <c r="C280" s="157" t="n"/>
      <c r="D280" s="134" t="n"/>
      <c r="E280" s="158">
        <f>IFERROR(IF(D280="","",VLOOKUP(D280,'MASTER DATA'!C5:D19,2,0)),"")</f>
        <v/>
      </c>
      <c r="F280" s="136" t="n"/>
      <c r="G280" s="136" t="n"/>
      <c r="H280" s="134" t="n"/>
      <c r="I280" s="159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9.5" customHeight="1" s="122">
      <c r="A281" s="121" t="n"/>
      <c r="B281" s="143" t="n">
        <v>278</v>
      </c>
      <c r="C281" s="157" t="n"/>
      <c r="D281" s="134" t="n"/>
      <c r="E281" s="160">
        <f>IFERROR(IF(D281="","",VLOOKUP(D281,'MASTER DATA'!C5:D19,2,0)),"")</f>
        <v/>
      </c>
      <c r="F281" s="136" t="n"/>
      <c r="G281" s="136" t="n"/>
      <c r="H281" s="134" t="n"/>
      <c r="I281" s="159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9.5" customHeight="1" s="122">
      <c r="A282" s="121" t="n"/>
      <c r="B282" s="133" t="n">
        <v>279</v>
      </c>
      <c r="C282" s="157" t="n"/>
      <c r="D282" s="134" t="n"/>
      <c r="E282" s="158">
        <f>IFERROR(IF(D282="","",VLOOKUP(D282,'MASTER DATA'!C5:D19,2,0)),"")</f>
        <v/>
      </c>
      <c r="F282" s="136" t="n"/>
      <c r="G282" s="136" t="n"/>
      <c r="H282" s="134" t="n"/>
      <c r="I282" s="159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9.5" customHeight="1" s="122">
      <c r="A283" s="121" t="n"/>
      <c r="B283" s="143" t="n">
        <v>280</v>
      </c>
      <c r="C283" s="157" t="n"/>
      <c r="D283" s="134" t="n"/>
      <c r="E283" s="160">
        <f>IFERROR(IF(D283="","",VLOOKUP(D283,'MASTER DATA'!C5:D19,2,0)),"")</f>
        <v/>
      </c>
      <c r="F283" s="136" t="n"/>
      <c r="G283" s="136" t="n"/>
      <c r="H283" s="134" t="n"/>
      <c r="I283" s="159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9.5" customHeight="1" s="122">
      <c r="A284" s="121" t="n"/>
      <c r="B284" s="133" t="n">
        <v>281</v>
      </c>
      <c r="C284" s="157" t="n"/>
      <c r="D284" s="134" t="n"/>
      <c r="E284" s="158">
        <f>IFERROR(IF(D284="","",VLOOKUP(D284,'MASTER DATA'!C5:D19,2,0)),"")</f>
        <v/>
      </c>
      <c r="F284" s="136" t="n"/>
      <c r="G284" s="136" t="n"/>
      <c r="H284" s="134" t="n"/>
      <c r="I284" s="159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9.5" customHeight="1" s="122">
      <c r="A285" s="121" t="n"/>
      <c r="B285" s="143" t="n">
        <v>282</v>
      </c>
      <c r="C285" s="157" t="n"/>
      <c r="D285" s="134" t="n"/>
      <c r="E285" s="160">
        <f>IFERROR(IF(D285="","",VLOOKUP(D285,'MASTER DATA'!C5:D19,2,0)),"")</f>
        <v/>
      </c>
      <c r="F285" s="136" t="n"/>
      <c r="G285" s="136" t="n"/>
      <c r="H285" s="134" t="n"/>
      <c r="I285" s="159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9.5" customHeight="1" s="122">
      <c r="A286" s="121" t="n"/>
      <c r="B286" s="133" t="n">
        <v>283</v>
      </c>
      <c r="C286" s="157" t="n"/>
      <c r="D286" s="134" t="n"/>
      <c r="E286" s="158">
        <f>IFERROR(IF(D286="","",VLOOKUP(D286,'MASTER DATA'!C5:D19,2,0)),"")</f>
        <v/>
      </c>
      <c r="F286" s="136" t="n"/>
      <c r="G286" s="136" t="n"/>
      <c r="H286" s="134" t="n"/>
      <c r="I286" s="159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9.5" customHeight="1" s="122">
      <c r="A287" s="121" t="n"/>
      <c r="B287" s="143" t="n">
        <v>284</v>
      </c>
      <c r="C287" s="157" t="n"/>
      <c r="D287" s="134" t="n"/>
      <c r="E287" s="160">
        <f>IFERROR(IF(D287="","",VLOOKUP(D287,'MASTER DATA'!C5:D19,2,0)),"")</f>
        <v/>
      </c>
      <c r="F287" s="136" t="n"/>
      <c r="G287" s="136" t="n"/>
      <c r="H287" s="134" t="n"/>
      <c r="I287" s="159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9.5" customHeight="1" s="122">
      <c r="A288" s="121" t="n"/>
      <c r="B288" s="133" t="n">
        <v>285</v>
      </c>
      <c r="C288" s="157" t="n"/>
      <c r="D288" s="134" t="n"/>
      <c r="E288" s="158">
        <f>IFERROR(IF(D288="","",VLOOKUP(D288,'MASTER DATA'!C5:D19,2,0)),"")</f>
        <v/>
      </c>
      <c r="F288" s="136" t="n"/>
      <c r="G288" s="136" t="n"/>
      <c r="H288" s="134" t="n"/>
      <c r="I288" s="159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9.5" customHeight="1" s="122">
      <c r="A289" s="121" t="n"/>
      <c r="B289" s="143" t="n">
        <v>286</v>
      </c>
      <c r="C289" s="157" t="n"/>
      <c r="D289" s="134" t="n"/>
      <c r="E289" s="160">
        <f>IFERROR(IF(D289="","",VLOOKUP(D289,'MASTER DATA'!C5:D19,2,0)),"")</f>
        <v/>
      </c>
      <c r="F289" s="136" t="n"/>
      <c r="G289" s="136" t="n"/>
      <c r="H289" s="134" t="n"/>
      <c r="I289" s="159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9.5" customHeight="1" s="122">
      <c r="A290" s="121" t="n"/>
      <c r="B290" s="133" t="n">
        <v>287</v>
      </c>
      <c r="C290" s="157" t="n"/>
      <c r="D290" s="134" t="n"/>
      <c r="E290" s="158">
        <f>IFERROR(IF(D290="","",VLOOKUP(D290,'MASTER DATA'!C5:D19,2,0)),"")</f>
        <v/>
      </c>
      <c r="F290" s="136" t="n"/>
      <c r="G290" s="136" t="n"/>
      <c r="H290" s="134" t="n"/>
      <c r="I290" s="159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9.5" customHeight="1" s="122">
      <c r="A291" s="121" t="n"/>
      <c r="B291" s="143" t="n">
        <v>288</v>
      </c>
      <c r="C291" s="157" t="n"/>
      <c r="D291" s="134" t="n"/>
      <c r="E291" s="160">
        <f>IFERROR(IF(D291="","",VLOOKUP(D291,'MASTER DATA'!C5:D19,2,0)),"")</f>
        <v/>
      </c>
      <c r="F291" s="136" t="n"/>
      <c r="G291" s="136" t="n"/>
      <c r="H291" s="134" t="n"/>
      <c r="I291" s="159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9.5" customHeight="1" s="122">
      <c r="A292" s="121" t="n"/>
      <c r="B292" s="133" t="n">
        <v>289</v>
      </c>
      <c r="C292" s="157" t="n"/>
      <c r="D292" s="134" t="n"/>
      <c r="E292" s="158">
        <f>IFERROR(IF(D292="","",VLOOKUP(D292,'MASTER DATA'!C5:D19,2,0)),"")</f>
        <v/>
      </c>
      <c r="F292" s="136" t="n"/>
      <c r="G292" s="136" t="n"/>
      <c r="H292" s="134" t="n"/>
      <c r="I292" s="159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9.5" customHeight="1" s="122">
      <c r="A293" s="121" t="n"/>
      <c r="B293" s="143" t="n">
        <v>290</v>
      </c>
      <c r="C293" s="157" t="n"/>
      <c r="D293" s="134" t="n"/>
      <c r="E293" s="160">
        <f>IFERROR(IF(D293="","",VLOOKUP(D293,'MASTER DATA'!C5:D19,2,0)),"")</f>
        <v/>
      </c>
      <c r="F293" s="136" t="n"/>
      <c r="G293" s="136" t="n"/>
      <c r="H293" s="134" t="n"/>
      <c r="I293" s="159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9.5" customHeight="1" s="122">
      <c r="A294" s="121" t="n"/>
      <c r="B294" s="133" t="n">
        <v>291</v>
      </c>
      <c r="C294" s="157" t="n"/>
      <c r="D294" s="134" t="n"/>
      <c r="E294" s="158">
        <f>IFERROR(IF(D294="","",VLOOKUP(D294,'MASTER DATA'!C5:D19,2,0)),"")</f>
        <v/>
      </c>
      <c r="F294" s="136" t="n"/>
      <c r="G294" s="136" t="n"/>
      <c r="H294" s="134" t="n"/>
      <c r="I294" s="159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9.5" customHeight="1" s="122">
      <c r="A295" s="121" t="n"/>
      <c r="B295" s="143" t="n">
        <v>292</v>
      </c>
      <c r="C295" s="157" t="n"/>
      <c r="D295" s="134" t="n"/>
      <c r="E295" s="160">
        <f>IFERROR(IF(D295="","",VLOOKUP(D295,'MASTER DATA'!C5:D19,2,0)),"")</f>
        <v/>
      </c>
      <c r="F295" s="136" t="n"/>
      <c r="G295" s="136" t="n"/>
      <c r="H295" s="134" t="n"/>
      <c r="I295" s="159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9.5" customHeight="1" s="122">
      <c r="A296" s="121" t="n"/>
      <c r="B296" s="133" t="n">
        <v>293</v>
      </c>
      <c r="C296" s="157" t="n"/>
      <c r="D296" s="134" t="n"/>
      <c r="E296" s="158">
        <f>IFERROR(IF(D296="","",VLOOKUP(D296,'MASTER DATA'!C5:D19,2,0)),"")</f>
        <v/>
      </c>
      <c r="F296" s="136" t="n"/>
      <c r="G296" s="136" t="n"/>
      <c r="H296" s="134" t="n"/>
      <c r="I296" s="159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9.5" customHeight="1" s="122">
      <c r="A297" s="121" t="n"/>
      <c r="B297" s="143" t="n">
        <v>294</v>
      </c>
      <c r="C297" s="157" t="n"/>
      <c r="D297" s="134" t="n"/>
      <c r="E297" s="160">
        <f>IFERROR(IF(D297="","",VLOOKUP(D297,'MASTER DATA'!C5:D19,2,0)),"")</f>
        <v/>
      </c>
      <c r="F297" s="136" t="n"/>
      <c r="G297" s="136" t="n"/>
      <c r="H297" s="134" t="n"/>
      <c r="I297" s="159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9.5" customHeight="1" s="122">
      <c r="A298" s="121" t="n"/>
      <c r="B298" s="133" t="n">
        <v>295</v>
      </c>
      <c r="C298" s="157" t="n"/>
      <c r="D298" s="134" t="n"/>
      <c r="E298" s="158">
        <f>IFERROR(IF(D298="","",VLOOKUP(D298,'MASTER DATA'!C5:D19,2,0)),"")</f>
        <v/>
      </c>
      <c r="F298" s="136" t="n"/>
      <c r="G298" s="136" t="n"/>
      <c r="H298" s="134" t="n"/>
      <c r="I298" s="159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9.5" customHeight="1" s="122">
      <c r="A299" s="121" t="n"/>
      <c r="B299" s="143" t="n">
        <v>296</v>
      </c>
      <c r="C299" s="157" t="n"/>
      <c r="D299" s="134" t="n"/>
      <c r="E299" s="160">
        <f>IFERROR(IF(D299="","",VLOOKUP(D299,'MASTER DATA'!C5:D19,2,0)),"")</f>
        <v/>
      </c>
      <c r="F299" s="136" t="n"/>
      <c r="G299" s="136" t="n"/>
      <c r="H299" s="134" t="n"/>
      <c r="I299" s="159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9.5" customHeight="1" s="122">
      <c r="A300" s="121" t="n"/>
      <c r="B300" s="133" t="n">
        <v>297</v>
      </c>
      <c r="C300" s="157" t="n"/>
      <c r="D300" s="134" t="n"/>
      <c r="E300" s="158">
        <f>IFERROR(IF(D300="","",VLOOKUP(D300,'MASTER DATA'!C5:D19,2,0)),"")</f>
        <v/>
      </c>
      <c r="F300" s="136" t="n"/>
      <c r="G300" s="136" t="n"/>
      <c r="H300" s="134" t="n"/>
      <c r="I300" s="159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9.5" customHeight="1" s="122">
      <c r="A301" s="121" t="n"/>
      <c r="B301" s="143" t="n">
        <v>298</v>
      </c>
      <c r="C301" s="157" t="n"/>
      <c r="D301" s="134" t="n"/>
      <c r="E301" s="160">
        <f>IFERROR(IF(D301="","",VLOOKUP(D301,'MASTER DATA'!C5:D19,2,0)),"")</f>
        <v/>
      </c>
      <c r="F301" s="136" t="n"/>
      <c r="G301" s="136" t="n"/>
      <c r="H301" s="134" t="n"/>
      <c r="I301" s="159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9.5" customHeight="1" s="122">
      <c r="A302" s="121" t="n"/>
      <c r="B302" s="133" t="n">
        <v>299</v>
      </c>
      <c r="C302" s="157" t="n"/>
      <c r="D302" s="134" t="n"/>
      <c r="E302" s="158">
        <f>IFERROR(IF(D302="","",VLOOKUP(D302,'MASTER DATA'!C5:D19,2,0)),"")</f>
        <v/>
      </c>
      <c r="F302" s="136" t="n"/>
      <c r="G302" s="136" t="n"/>
      <c r="H302" s="134" t="n"/>
      <c r="I302" s="159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9.5" customHeight="1" s="122">
      <c r="A303" s="121" t="n"/>
      <c r="B303" s="143" t="n">
        <v>300</v>
      </c>
      <c r="C303" s="157" t="n"/>
      <c r="D303" s="134" t="n"/>
      <c r="E303" s="160">
        <f>IFERROR(IF(D303="","",VLOOKUP(D303,'MASTER DATA'!C5:D19,2,0)),"")</f>
        <v/>
      </c>
      <c r="F303" s="136" t="n"/>
      <c r="G303" s="136" t="n"/>
      <c r="H303" s="134" t="n"/>
      <c r="I303" s="159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9.5" customHeight="1" s="122">
      <c r="A304" s="121" t="n"/>
      <c r="B304" s="133" t="n">
        <v>301</v>
      </c>
      <c r="C304" s="157" t="n"/>
      <c r="D304" s="134" t="n"/>
      <c r="E304" s="158">
        <f>IFERROR(IF(D304="","",VLOOKUP(D304,'MASTER DATA'!C5:D19,2,0)),"")</f>
        <v/>
      </c>
      <c r="F304" s="136" t="n"/>
      <c r="G304" s="136" t="n"/>
      <c r="H304" s="134" t="n"/>
      <c r="I304" s="159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9.5" customHeight="1" s="122">
      <c r="A305" s="121" t="n"/>
      <c r="B305" s="143" t="n">
        <v>302</v>
      </c>
      <c r="C305" s="157" t="n"/>
      <c r="D305" s="134" t="n"/>
      <c r="E305" s="160">
        <f>IFERROR(IF(D305="","",VLOOKUP(D305,'MASTER DATA'!C5:D19,2,0)),"")</f>
        <v/>
      </c>
      <c r="F305" s="136" t="n"/>
      <c r="G305" s="136" t="n"/>
      <c r="H305" s="134" t="n"/>
      <c r="I305" s="159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9.5" customHeight="1" s="122">
      <c r="A306" s="121" t="n"/>
      <c r="B306" s="133" t="n">
        <v>303</v>
      </c>
      <c r="C306" s="157" t="n"/>
      <c r="D306" s="134" t="n"/>
      <c r="E306" s="158">
        <f>IFERROR(IF(D306="","",VLOOKUP(D306,'MASTER DATA'!C5:D19,2,0)),"")</f>
        <v/>
      </c>
      <c r="F306" s="136" t="n"/>
      <c r="G306" s="136" t="n"/>
      <c r="H306" s="134" t="n"/>
      <c r="I306" s="159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9.5" customHeight="1" s="122">
      <c r="A307" s="121" t="n"/>
      <c r="B307" s="143" t="n">
        <v>304</v>
      </c>
      <c r="C307" s="157" t="n"/>
      <c r="D307" s="134" t="n"/>
      <c r="E307" s="160">
        <f>IFERROR(IF(D307="","",VLOOKUP(D307,'MASTER DATA'!C5:D19,2,0)),"")</f>
        <v/>
      </c>
      <c r="F307" s="136" t="n"/>
      <c r="G307" s="136" t="n"/>
      <c r="H307" s="134" t="n"/>
      <c r="I307" s="159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9.5" customHeight="1" s="122">
      <c r="A308" s="121" t="n"/>
      <c r="B308" s="133" t="n">
        <v>305</v>
      </c>
      <c r="C308" s="157" t="n"/>
      <c r="D308" s="134" t="n"/>
      <c r="E308" s="158">
        <f>IFERROR(IF(D308="","",VLOOKUP(D308,'MASTER DATA'!C5:D19,2,0)),"")</f>
        <v/>
      </c>
      <c r="F308" s="136" t="n"/>
      <c r="G308" s="136" t="n"/>
      <c r="H308" s="134" t="n"/>
      <c r="I308" s="159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9.5" customHeight="1" s="122">
      <c r="A309" s="121" t="n"/>
      <c r="B309" s="143" t="n">
        <v>306</v>
      </c>
      <c r="C309" s="157" t="n"/>
      <c r="D309" s="134" t="n"/>
      <c r="E309" s="160">
        <f>IFERROR(IF(D309="","",VLOOKUP(D309,'MASTER DATA'!C5:D19,2,0)),"")</f>
        <v/>
      </c>
      <c r="F309" s="136" t="n"/>
      <c r="G309" s="136" t="n"/>
      <c r="H309" s="134" t="n"/>
      <c r="I309" s="159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9.5" customHeight="1" s="122">
      <c r="A310" s="121" t="n"/>
      <c r="B310" s="133" t="n">
        <v>307</v>
      </c>
      <c r="C310" s="157" t="n"/>
      <c r="D310" s="134" t="n"/>
      <c r="E310" s="158">
        <f>IFERROR(IF(D310="","",VLOOKUP(D310,'MASTER DATA'!C5:D19,2,0)),"")</f>
        <v/>
      </c>
      <c r="F310" s="136" t="n"/>
      <c r="G310" s="136" t="n"/>
      <c r="H310" s="134" t="n"/>
      <c r="I310" s="159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9.5" customHeight="1" s="122">
      <c r="A311" s="121" t="n"/>
      <c r="B311" s="143" t="n">
        <v>308</v>
      </c>
      <c r="C311" s="157" t="n"/>
      <c r="D311" s="134" t="n"/>
      <c r="E311" s="160">
        <f>IFERROR(IF(D311="","",VLOOKUP(D311,'MASTER DATA'!C5:D19,2,0)),"")</f>
        <v/>
      </c>
      <c r="F311" s="136" t="n"/>
      <c r="G311" s="136" t="n"/>
      <c r="H311" s="134" t="n"/>
      <c r="I311" s="159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9.5" customHeight="1" s="122">
      <c r="A312" s="121" t="n"/>
      <c r="B312" s="133" t="n">
        <v>309</v>
      </c>
      <c r="C312" s="157" t="n"/>
      <c r="D312" s="134" t="n"/>
      <c r="E312" s="158">
        <f>IFERROR(IF(D312="","",VLOOKUP(D312,'MASTER DATA'!C5:D19,2,0)),"")</f>
        <v/>
      </c>
      <c r="F312" s="136" t="n"/>
      <c r="G312" s="136" t="n"/>
      <c r="H312" s="134" t="n"/>
      <c r="I312" s="159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9.5" customHeight="1" s="122">
      <c r="A313" s="121" t="n"/>
      <c r="B313" s="143" t="n">
        <v>310</v>
      </c>
      <c r="C313" s="157" t="n"/>
      <c r="D313" s="134" t="n"/>
      <c r="E313" s="160">
        <f>IFERROR(IF(D313="","",VLOOKUP(D313,'MASTER DATA'!C5:D19,2,0)),"")</f>
        <v/>
      </c>
      <c r="F313" s="136" t="n"/>
      <c r="G313" s="136" t="n"/>
      <c r="H313" s="134" t="n"/>
      <c r="I313" s="159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9.5" customHeight="1" s="122">
      <c r="A314" s="121" t="n"/>
      <c r="B314" s="133" t="n">
        <v>311</v>
      </c>
      <c r="C314" s="157" t="n"/>
      <c r="D314" s="134" t="n"/>
      <c r="E314" s="158">
        <f>IFERROR(IF(D314="","",VLOOKUP(D314,'MASTER DATA'!C5:D19,2,0)),"")</f>
        <v/>
      </c>
      <c r="F314" s="136" t="n"/>
      <c r="G314" s="136" t="n"/>
      <c r="H314" s="134" t="n"/>
      <c r="I314" s="159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9.5" customHeight="1" s="122">
      <c r="A315" s="121" t="n"/>
      <c r="B315" s="143" t="n">
        <v>312</v>
      </c>
      <c r="C315" s="157" t="n"/>
      <c r="D315" s="134" t="n"/>
      <c r="E315" s="160">
        <f>IFERROR(IF(D315="","",VLOOKUP(D315,'MASTER DATA'!C5:D19,2,0)),"")</f>
        <v/>
      </c>
      <c r="F315" s="136" t="n"/>
      <c r="G315" s="136" t="n"/>
      <c r="H315" s="134" t="n"/>
      <c r="I315" s="159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9.5" customHeight="1" s="122">
      <c r="A316" s="121" t="n"/>
      <c r="B316" s="133" t="n">
        <v>313</v>
      </c>
      <c r="C316" s="157" t="n"/>
      <c r="D316" s="134" t="n"/>
      <c r="E316" s="158">
        <f>IFERROR(IF(D316="","",VLOOKUP(D316,'MASTER DATA'!C5:D19,2,0)),"")</f>
        <v/>
      </c>
      <c r="F316" s="136" t="n"/>
      <c r="G316" s="136" t="n"/>
      <c r="H316" s="134" t="n"/>
      <c r="I316" s="159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9.5" customHeight="1" s="122">
      <c r="A317" s="121" t="n"/>
      <c r="B317" s="143" t="n">
        <v>314</v>
      </c>
      <c r="C317" s="157" t="n"/>
      <c r="D317" s="134" t="n"/>
      <c r="E317" s="160">
        <f>IFERROR(IF(D317="","",VLOOKUP(D317,'MASTER DATA'!C5:D19,2,0)),"")</f>
        <v/>
      </c>
      <c r="F317" s="136" t="n"/>
      <c r="G317" s="136" t="n"/>
      <c r="H317" s="134" t="n"/>
      <c r="I317" s="159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9.5" customHeight="1" s="122">
      <c r="A318" s="121" t="n"/>
      <c r="B318" s="133" t="n">
        <v>315</v>
      </c>
      <c r="C318" s="157" t="n"/>
      <c r="D318" s="134" t="n"/>
      <c r="E318" s="158">
        <f>IFERROR(IF(D318="","",VLOOKUP(D318,'MASTER DATA'!C5:D19,2,0)),"")</f>
        <v/>
      </c>
      <c r="F318" s="136" t="n"/>
      <c r="G318" s="136" t="n"/>
      <c r="H318" s="134" t="n"/>
      <c r="I318" s="159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9.5" customHeight="1" s="122">
      <c r="A319" s="121" t="n"/>
      <c r="B319" s="143" t="n">
        <v>316</v>
      </c>
      <c r="C319" s="157" t="n"/>
      <c r="D319" s="134" t="n"/>
      <c r="E319" s="160">
        <f>IFERROR(IF(D319="","",VLOOKUP(D319,'MASTER DATA'!C5:D19,2,0)),"")</f>
        <v/>
      </c>
      <c r="F319" s="136" t="n"/>
      <c r="G319" s="136" t="n"/>
      <c r="H319" s="134" t="n"/>
      <c r="I319" s="159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9.5" customHeight="1" s="122">
      <c r="A320" s="121" t="n"/>
      <c r="B320" s="133" t="n">
        <v>317</v>
      </c>
      <c r="C320" s="157" t="n"/>
      <c r="D320" s="134" t="n"/>
      <c r="E320" s="158">
        <f>IFERROR(IF(D320="","",VLOOKUP(D320,'MASTER DATA'!C5:D19,2,0)),"")</f>
        <v/>
      </c>
      <c r="F320" s="136" t="n"/>
      <c r="G320" s="136" t="n"/>
      <c r="H320" s="134" t="n"/>
      <c r="I320" s="159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9.5" customHeight="1" s="122">
      <c r="A321" s="121" t="n"/>
      <c r="B321" s="143" t="n">
        <v>318</v>
      </c>
      <c r="C321" s="157" t="n"/>
      <c r="D321" s="134" t="n"/>
      <c r="E321" s="160">
        <f>IFERROR(IF(D321="","",VLOOKUP(D321,'MASTER DATA'!C5:D19,2,0)),"")</f>
        <v/>
      </c>
      <c r="F321" s="136" t="n"/>
      <c r="G321" s="136" t="n"/>
      <c r="H321" s="134" t="n"/>
      <c r="I321" s="159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9.5" customHeight="1" s="122">
      <c r="A322" s="121" t="n"/>
      <c r="B322" s="133" t="n">
        <v>319</v>
      </c>
      <c r="C322" s="157" t="n"/>
      <c r="D322" s="134" t="n"/>
      <c r="E322" s="158">
        <f>IFERROR(IF(D322="","",VLOOKUP(D322,'MASTER DATA'!C5:D19,2,0)),"")</f>
        <v/>
      </c>
      <c r="F322" s="136" t="n"/>
      <c r="G322" s="136" t="n"/>
      <c r="H322" s="134" t="n"/>
      <c r="I322" s="159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9.5" customHeight="1" s="122">
      <c r="A323" s="121" t="n"/>
      <c r="B323" s="143" t="n">
        <v>320</v>
      </c>
      <c r="C323" s="157" t="n"/>
      <c r="D323" s="134" t="n"/>
      <c r="E323" s="160">
        <f>IFERROR(IF(D323="","",VLOOKUP(D323,'MASTER DATA'!C5:D19,2,0)),"")</f>
        <v/>
      </c>
      <c r="F323" s="136" t="n"/>
      <c r="G323" s="136" t="n"/>
      <c r="H323" s="134" t="n"/>
      <c r="I323" s="159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9.5" customHeight="1" s="122">
      <c r="A324" s="121" t="n"/>
      <c r="B324" s="133" t="n">
        <v>321</v>
      </c>
      <c r="C324" s="157" t="n"/>
      <c r="D324" s="134" t="n"/>
      <c r="E324" s="158">
        <f>IFERROR(IF(D324="","",VLOOKUP(D324,'MASTER DATA'!C5:D19,2,0)),"")</f>
        <v/>
      </c>
      <c r="F324" s="136" t="n"/>
      <c r="G324" s="136" t="n"/>
      <c r="H324" s="134" t="n"/>
      <c r="I324" s="159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9.5" customHeight="1" s="122">
      <c r="A325" s="121" t="n"/>
      <c r="B325" s="143" t="n">
        <v>322</v>
      </c>
      <c r="C325" s="157" t="n"/>
      <c r="D325" s="134" t="n"/>
      <c r="E325" s="160">
        <f>IFERROR(IF(D325="","",VLOOKUP(D325,'MASTER DATA'!C5:D19,2,0)),"")</f>
        <v/>
      </c>
      <c r="F325" s="136" t="n"/>
      <c r="G325" s="136" t="n"/>
      <c r="H325" s="134" t="n"/>
      <c r="I325" s="159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9.5" customHeight="1" s="122">
      <c r="A326" s="121" t="n"/>
      <c r="B326" s="133" t="n">
        <v>323</v>
      </c>
      <c r="C326" s="157" t="n"/>
      <c r="D326" s="134" t="n"/>
      <c r="E326" s="158">
        <f>IFERROR(IF(D326="","",VLOOKUP(D326,'MASTER DATA'!C5:D19,2,0)),"")</f>
        <v/>
      </c>
      <c r="F326" s="136" t="n"/>
      <c r="G326" s="136" t="n"/>
      <c r="H326" s="134" t="n"/>
      <c r="I326" s="159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9.5" customHeight="1" s="122">
      <c r="A327" s="121" t="n"/>
      <c r="B327" s="143" t="n">
        <v>324</v>
      </c>
      <c r="C327" s="157" t="n"/>
      <c r="D327" s="134" t="n"/>
      <c r="E327" s="160">
        <f>IFERROR(IF(D327="","",VLOOKUP(D327,'MASTER DATA'!C5:D19,2,0)),"")</f>
        <v/>
      </c>
      <c r="F327" s="136" t="n"/>
      <c r="G327" s="136" t="n"/>
      <c r="H327" s="134" t="n"/>
      <c r="I327" s="159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9.5" customHeight="1" s="122">
      <c r="A328" s="121" t="n"/>
      <c r="B328" s="133" t="n">
        <v>325</v>
      </c>
      <c r="C328" s="157" t="n"/>
      <c r="D328" s="134" t="n"/>
      <c r="E328" s="158">
        <f>IFERROR(IF(D328="","",VLOOKUP(D328,'MASTER DATA'!C5:D19,2,0)),"")</f>
        <v/>
      </c>
      <c r="F328" s="136" t="n"/>
      <c r="G328" s="136" t="n"/>
      <c r="H328" s="134" t="n"/>
      <c r="I328" s="159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9.5" customHeight="1" s="122">
      <c r="A329" s="121" t="n"/>
      <c r="B329" s="143" t="n">
        <v>326</v>
      </c>
      <c r="C329" s="157" t="n"/>
      <c r="D329" s="134" t="n"/>
      <c r="E329" s="160">
        <f>IFERROR(IF(D329="","",VLOOKUP(D329,'MASTER DATA'!C5:D19,2,0)),"")</f>
        <v/>
      </c>
      <c r="F329" s="136" t="n"/>
      <c r="G329" s="136" t="n"/>
      <c r="H329" s="134" t="n"/>
      <c r="I329" s="159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9.5" customHeight="1" s="122">
      <c r="A330" s="121" t="n"/>
      <c r="B330" s="133" t="n">
        <v>327</v>
      </c>
      <c r="C330" s="157" t="n"/>
      <c r="D330" s="134" t="n"/>
      <c r="E330" s="158">
        <f>IFERROR(IF(D330="","",VLOOKUP(D330,'MASTER DATA'!C5:D19,2,0)),"")</f>
        <v/>
      </c>
      <c r="F330" s="136" t="n"/>
      <c r="G330" s="136" t="n"/>
      <c r="H330" s="134" t="n"/>
      <c r="I330" s="159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9.5" customHeight="1" s="122">
      <c r="A331" s="121" t="n"/>
      <c r="B331" s="143" t="n">
        <v>328</v>
      </c>
      <c r="C331" s="157" t="n"/>
      <c r="D331" s="134" t="n"/>
      <c r="E331" s="160">
        <f>IFERROR(IF(D331="","",VLOOKUP(D331,'MASTER DATA'!C5:D19,2,0)),"")</f>
        <v/>
      </c>
      <c r="F331" s="136" t="n"/>
      <c r="G331" s="136" t="n"/>
      <c r="H331" s="134" t="n"/>
      <c r="I331" s="159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9.5" customHeight="1" s="122">
      <c r="A332" s="121" t="n"/>
      <c r="B332" s="133" t="n">
        <v>329</v>
      </c>
      <c r="C332" s="157" t="n"/>
      <c r="D332" s="134" t="n"/>
      <c r="E332" s="158">
        <f>IFERROR(IF(D332="","",VLOOKUP(D332,'MASTER DATA'!C5:D19,2,0)),"")</f>
        <v/>
      </c>
      <c r="F332" s="136" t="n"/>
      <c r="G332" s="136" t="n"/>
      <c r="H332" s="134" t="n"/>
      <c r="I332" s="159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9.5" customHeight="1" s="122">
      <c r="A333" s="121" t="n"/>
      <c r="B333" s="143" t="n">
        <v>330</v>
      </c>
      <c r="C333" s="157" t="n"/>
      <c r="D333" s="134" t="n"/>
      <c r="E333" s="160">
        <f>IFERROR(IF(D333="","",VLOOKUP(D333,'MASTER DATA'!C5:D19,2,0)),"")</f>
        <v/>
      </c>
      <c r="F333" s="136" t="n"/>
      <c r="G333" s="136" t="n"/>
      <c r="H333" s="134" t="n"/>
      <c r="I333" s="159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9.5" customHeight="1" s="122">
      <c r="A334" s="121" t="n"/>
      <c r="B334" s="133" t="n">
        <v>331</v>
      </c>
      <c r="C334" s="157" t="n"/>
      <c r="D334" s="134" t="n"/>
      <c r="E334" s="158">
        <f>IFERROR(IF(D334="","",VLOOKUP(D334,'MASTER DATA'!C5:D19,2,0)),"")</f>
        <v/>
      </c>
      <c r="F334" s="136" t="n"/>
      <c r="G334" s="136" t="n"/>
      <c r="H334" s="134" t="n"/>
      <c r="I334" s="159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9.5" customHeight="1" s="122">
      <c r="A335" s="121" t="n"/>
      <c r="B335" s="143" t="n">
        <v>332</v>
      </c>
      <c r="C335" s="157" t="n"/>
      <c r="D335" s="134" t="n"/>
      <c r="E335" s="160">
        <f>IFERROR(IF(D335="","",VLOOKUP(D335,'MASTER DATA'!C5:D19,2,0)),"")</f>
        <v/>
      </c>
      <c r="F335" s="136" t="n"/>
      <c r="G335" s="136" t="n"/>
      <c r="H335" s="134" t="n"/>
      <c r="I335" s="159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9.5" customHeight="1" s="122">
      <c r="A336" s="121" t="n"/>
      <c r="B336" s="133" t="n">
        <v>333</v>
      </c>
      <c r="C336" s="157" t="n"/>
      <c r="D336" s="134" t="n"/>
      <c r="E336" s="158">
        <f>IFERROR(IF(D336="","",VLOOKUP(D336,'MASTER DATA'!C5:D19,2,0)),"")</f>
        <v/>
      </c>
      <c r="F336" s="136" t="n"/>
      <c r="G336" s="136" t="n"/>
      <c r="H336" s="134" t="n"/>
      <c r="I336" s="159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9.5" customHeight="1" s="122">
      <c r="A337" s="121" t="n"/>
      <c r="B337" s="143" t="n">
        <v>334</v>
      </c>
      <c r="C337" s="157" t="n"/>
      <c r="D337" s="134" t="n"/>
      <c r="E337" s="160">
        <f>IFERROR(IF(D337="","",VLOOKUP(D337,'MASTER DATA'!C5:D19,2,0)),"")</f>
        <v/>
      </c>
      <c r="F337" s="136" t="n"/>
      <c r="G337" s="136" t="n"/>
      <c r="H337" s="134" t="n"/>
      <c r="I337" s="159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9.5" customHeight="1" s="122">
      <c r="A338" s="121" t="n"/>
      <c r="B338" s="133" t="n">
        <v>335</v>
      </c>
      <c r="C338" s="157" t="n"/>
      <c r="D338" s="134" t="n"/>
      <c r="E338" s="158">
        <f>IFERROR(IF(D338="","",VLOOKUP(D338,'MASTER DATA'!C5:D19,2,0)),"")</f>
        <v/>
      </c>
      <c r="F338" s="136" t="n"/>
      <c r="G338" s="136" t="n"/>
      <c r="H338" s="134" t="n"/>
      <c r="I338" s="159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9.5" customHeight="1" s="122">
      <c r="A339" s="121" t="n"/>
      <c r="B339" s="143" t="n">
        <v>336</v>
      </c>
      <c r="C339" s="157" t="n"/>
      <c r="D339" s="134" t="n"/>
      <c r="E339" s="160">
        <f>IFERROR(IF(D339="","",VLOOKUP(D339,'MASTER DATA'!C5:D19,2,0)),"")</f>
        <v/>
      </c>
      <c r="F339" s="136" t="n"/>
      <c r="G339" s="136" t="n"/>
      <c r="H339" s="134" t="n"/>
      <c r="I339" s="159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9.5" customHeight="1" s="122">
      <c r="A340" s="121" t="n"/>
      <c r="B340" s="133" t="n">
        <v>337</v>
      </c>
      <c r="C340" s="157" t="n"/>
      <c r="D340" s="134" t="n"/>
      <c r="E340" s="158">
        <f>IFERROR(IF(D340="","",VLOOKUP(D340,'MASTER DATA'!C5:D19,2,0)),"")</f>
        <v/>
      </c>
      <c r="F340" s="136" t="n"/>
      <c r="G340" s="136" t="n"/>
      <c r="H340" s="134" t="n"/>
      <c r="I340" s="159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9.5" customHeight="1" s="122">
      <c r="A341" s="121" t="n"/>
      <c r="B341" s="143" t="n">
        <v>338</v>
      </c>
      <c r="C341" s="157" t="n"/>
      <c r="D341" s="134" t="n"/>
      <c r="E341" s="160">
        <f>IFERROR(IF(D341="","",VLOOKUP(D341,'MASTER DATA'!C5:D19,2,0)),"")</f>
        <v/>
      </c>
      <c r="F341" s="136" t="n"/>
      <c r="G341" s="136" t="n"/>
      <c r="H341" s="134" t="n"/>
      <c r="I341" s="159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9.5" customHeight="1" s="122">
      <c r="A342" s="121" t="n"/>
      <c r="B342" s="133" t="n">
        <v>339</v>
      </c>
      <c r="C342" s="157" t="n"/>
      <c r="D342" s="134" t="n"/>
      <c r="E342" s="158">
        <f>IFERROR(IF(D342="","",VLOOKUP(D342,'MASTER DATA'!C5:D19,2,0)),"")</f>
        <v/>
      </c>
      <c r="F342" s="136" t="n"/>
      <c r="G342" s="136" t="n"/>
      <c r="H342" s="134" t="n"/>
      <c r="I342" s="159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9.5" customHeight="1" s="122">
      <c r="A343" s="121" t="n"/>
      <c r="B343" s="143" t="n">
        <v>340</v>
      </c>
      <c r="C343" s="157" t="n"/>
      <c r="D343" s="134" t="n"/>
      <c r="E343" s="160">
        <f>IFERROR(IF(D343="","",VLOOKUP(D343,'MASTER DATA'!C5:D19,2,0)),"")</f>
        <v/>
      </c>
      <c r="F343" s="136" t="n"/>
      <c r="G343" s="136" t="n"/>
      <c r="H343" s="134" t="n"/>
      <c r="I343" s="159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9.5" customHeight="1" s="122">
      <c r="A344" s="121" t="n"/>
      <c r="B344" s="133" t="n">
        <v>341</v>
      </c>
      <c r="C344" s="157" t="n"/>
      <c r="D344" s="134" t="n"/>
      <c r="E344" s="158">
        <f>IFERROR(IF(D344="","",VLOOKUP(D344,'MASTER DATA'!C5:D19,2,0)),"")</f>
        <v/>
      </c>
      <c r="F344" s="136" t="n"/>
      <c r="G344" s="136" t="n"/>
      <c r="H344" s="134" t="n"/>
      <c r="I344" s="159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9.5" customHeight="1" s="122">
      <c r="A345" s="121" t="n"/>
      <c r="B345" s="143" t="n">
        <v>342</v>
      </c>
      <c r="C345" s="157" t="n"/>
      <c r="D345" s="134" t="n"/>
      <c r="E345" s="160">
        <f>IFERROR(IF(D345="","",VLOOKUP(D345,'MASTER DATA'!C5:D19,2,0)),"")</f>
        <v/>
      </c>
      <c r="F345" s="136" t="n"/>
      <c r="G345" s="136" t="n"/>
      <c r="H345" s="134" t="n"/>
      <c r="I345" s="159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9.5" customHeight="1" s="122">
      <c r="A346" s="121" t="n"/>
      <c r="B346" s="133" t="n">
        <v>343</v>
      </c>
      <c r="C346" s="157" t="n"/>
      <c r="D346" s="134" t="n"/>
      <c r="E346" s="158">
        <f>IFERROR(IF(D346="","",VLOOKUP(D346,'MASTER DATA'!C5:D19,2,0)),"")</f>
        <v/>
      </c>
      <c r="F346" s="136" t="n"/>
      <c r="G346" s="136" t="n"/>
      <c r="H346" s="134" t="n"/>
      <c r="I346" s="159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9.5" customHeight="1" s="122">
      <c r="A347" s="121" t="n"/>
      <c r="B347" s="143" t="n">
        <v>344</v>
      </c>
      <c r="C347" s="157" t="n"/>
      <c r="D347" s="134" t="n"/>
      <c r="E347" s="160">
        <f>IFERROR(IF(D347="","",VLOOKUP(D347,'MASTER DATA'!C5:D19,2,0)),"")</f>
        <v/>
      </c>
      <c r="F347" s="136" t="n"/>
      <c r="G347" s="136" t="n"/>
      <c r="H347" s="134" t="n"/>
      <c r="I347" s="159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9.5" customHeight="1" s="122">
      <c r="A348" s="121" t="n"/>
      <c r="B348" s="133" t="n">
        <v>345</v>
      </c>
      <c r="C348" s="157" t="n"/>
      <c r="D348" s="134" t="n"/>
      <c r="E348" s="158">
        <f>IFERROR(IF(D348="","",VLOOKUP(D348,'MASTER DATA'!C5:D19,2,0)),"")</f>
        <v/>
      </c>
      <c r="F348" s="136" t="n"/>
      <c r="G348" s="136" t="n"/>
      <c r="H348" s="134" t="n"/>
      <c r="I348" s="159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9.5" customHeight="1" s="122">
      <c r="A349" s="121" t="n"/>
      <c r="B349" s="143" t="n">
        <v>346</v>
      </c>
      <c r="C349" s="157" t="n"/>
      <c r="D349" s="134" t="n"/>
      <c r="E349" s="160">
        <f>IFERROR(IF(D349="","",VLOOKUP(D349,'MASTER DATA'!C5:D19,2,0)),"")</f>
        <v/>
      </c>
      <c r="F349" s="136" t="n"/>
      <c r="G349" s="136" t="n"/>
      <c r="H349" s="134" t="n"/>
      <c r="I349" s="159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9.5" customHeight="1" s="122">
      <c r="A350" s="121" t="n"/>
      <c r="B350" s="133" t="n">
        <v>347</v>
      </c>
      <c r="C350" s="157" t="n"/>
      <c r="D350" s="134" t="n"/>
      <c r="E350" s="158">
        <f>IFERROR(IF(D350="","",VLOOKUP(D350,'MASTER DATA'!C5:D19,2,0)),"")</f>
        <v/>
      </c>
      <c r="F350" s="136" t="n"/>
      <c r="G350" s="136" t="n"/>
      <c r="H350" s="134" t="n"/>
      <c r="I350" s="159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9.5" customHeight="1" s="122">
      <c r="A351" s="121" t="n"/>
      <c r="B351" s="143" t="n">
        <v>348</v>
      </c>
      <c r="C351" s="157" t="n"/>
      <c r="D351" s="134" t="n"/>
      <c r="E351" s="160">
        <f>IFERROR(IF(D351="","",VLOOKUP(D351,'MASTER DATA'!C5:D19,2,0)),"")</f>
        <v/>
      </c>
      <c r="F351" s="136" t="n"/>
      <c r="G351" s="136" t="n"/>
      <c r="H351" s="134" t="n"/>
      <c r="I351" s="159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9.5" customHeight="1" s="122">
      <c r="A352" s="121" t="n"/>
      <c r="B352" s="133" t="n">
        <v>349</v>
      </c>
      <c r="C352" s="157" t="n"/>
      <c r="D352" s="134" t="n"/>
      <c r="E352" s="158">
        <f>IFERROR(IF(D352="","",VLOOKUP(D352,'MASTER DATA'!C5:D19,2,0)),"")</f>
        <v/>
      </c>
      <c r="F352" s="136" t="n"/>
      <c r="G352" s="136" t="n"/>
      <c r="H352" s="134" t="n"/>
      <c r="I352" s="159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9.5" customHeight="1" s="122">
      <c r="A353" s="121" t="n"/>
      <c r="B353" s="143" t="n">
        <v>350</v>
      </c>
      <c r="C353" s="157" t="n"/>
      <c r="D353" s="134" t="n"/>
      <c r="E353" s="160">
        <f>IFERROR(IF(D353="","",VLOOKUP(D353,'MASTER DATA'!C5:D19,2,0)),"")</f>
        <v/>
      </c>
      <c r="F353" s="136" t="n"/>
      <c r="G353" s="136" t="n"/>
      <c r="H353" s="134" t="n"/>
      <c r="I353" s="159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9.5" customHeight="1" s="122">
      <c r="A354" s="121" t="n"/>
      <c r="B354" s="133" t="n">
        <v>351</v>
      </c>
      <c r="C354" s="157" t="n"/>
      <c r="D354" s="134" t="n"/>
      <c r="E354" s="158">
        <f>IFERROR(IF(D354="","",VLOOKUP(D354,'MASTER DATA'!C5:D19,2,0)),"")</f>
        <v/>
      </c>
      <c r="F354" s="136" t="n"/>
      <c r="G354" s="136" t="n"/>
      <c r="H354" s="134" t="n"/>
      <c r="I354" s="159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9.5" customHeight="1" s="122">
      <c r="A355" s="121" t="n"/>
      <c r="B355" s="143" t="n">
        <v>352</v>
      </c>
      <c r="C355" s="157" t="n"/>
      <c r="D355" s="134" t="n"/>
      <c r="E355" s="160">
        <f>IFERROR(IF(D355="","",VLOOKUP(D355,'MASTER DATA'!C5:D19,2,0)),"")</f>
        <v/>
      </c>
      <c r="F355" s="136" t="n"/>
      <c r="G355" s="136" t="n"/>
      <c r="H355" s="134" t="n"/>
      <c r="I355" s="159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9.5" customHeight="1" s="122">
      <c r="A356" s="121" t="n"/>
      <c r="B356" s="133" t="n">
        <v>353</v>
      </c>
      <c r="C356" s="157" t="n"/>
      <c r="D356" s="134" t="n"/>
      <c r="E356" s="158">
        <f>IFERROR(IF(D356="","",VLOOKUP(D356,'MASTER DATA'!C5:D19,2,0)),"")</f>
        <v/>
      </c>
      <c r="F356" s="136" t="n"/>
      <c r="G356" s="136" t="n"/>
      <c r="H356" s="134" t="n"/>
      <c r="I356" s="159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9.5" customHeight="1" s="122">
      <c r="A357" s="121" t="n"/>
      <c r="B357" s="143" t="n">
        <v>354</v>
      </c>
      <c r="C357" s="157" t="n"/>
      <c r="D357" s="134" t="n"/>
      <c r="E357" s="160">
        <f>IFERROR(IF(D357="","",VLOOKUP(D357,'MASTER DATA'!C5:D19,2,0)),"")</f>
        <v/>
      </c>
      <c r="F357" s="136" t="n"/>
      <c r="G357" s="136" t="n"/>
      <c r="H357" s="134" t="n"/>
      <c r="I357" s="159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9.5" customHeight="1" s="122">
      <c r="A358" s="121" t="n"/>
      <c r="B358" s="133" t="n">
        <v>355</v>
      </c>
      <c r="C358" s="157" t="n"/>
      <c r="D358" s="134" t="n"/>
      <c r="E358" s="158">
        <f>IFERROR(IF(D358="","",VLOOKUP(D358,'MASTER DATA'!C5:D19,2,0)),"")</f>
        <v/>
      </c>
      <c r="F358" s="136" t="n"/>
      <c r="G358" s="136" t="n"/>
      <c r="H358" s="134" t="n"/>
      <c r="I358" s="159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9.5" customHeight="1" s="122">
      <c r="A359" s="121" t="n"/>
      <c r="B359" s="143" t="n">
        <v>356</v>
      </c>
      <c r="C359" s="157" t="n"/>
      <c r="D359" s="134" t="n"/>
      <c r="E359" s="160">
        <f>IFERROR(IF(D359="","",VLOOKUP(D359,'MASTER DATA'!C5:D19,2,0)),"")</f>
        <v/>
      </c>
      <c r="F359" s="136" t="n"/>
      <c r="G359" s="136" t="n"/>
      <c r="H359" s="134" t="n"/>
      <c r="I359" s="159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9.5" customHeight="1" s="122">
      <c r="A360" s="121" t="n"/>
      <c r="B360" s="133" t="n">
        <v>357</v>
      </c>
      <c r="C360" s="157" t="n"/>
      <c r="D360" s="134" t="n"/>
      <c r="E360" s="158">
        <f>IFERROR(IF(D360="","",VLOOKUP(D360,'MASTER DATA'!C5:D19,2,0)),"")</f>
        <v/>
      </c>
      <c r="F360" s="136" t="n"/>
      <c r="G360" s="136" t="n"/>
      <c r="H360" s="134" t="n"/>
      <c r="I360" s="159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9.5" customHeight="1" s="122">
      <c r="A361" s="121" t="n"/>
      <c r="B361" s="143" t="n">
        <v>358</v>
      </c>
      <c r="C361" s="157" t="n"/>
      <c r="D361" s="134" t="n"/>
      <c r="E361" s="160">
        <f>IFERROR(IF(D361="","",VLOOKUP(D361,'MASTER DATA'!C5:D19,2,0)),"")</f>
        <v/>
      </c>
      <c r="F361" s="136" t="n"/>
      <c r="G361" s="136" t="n"/>
      <c r="H361" s="134" t="n"/>
      <c r="I361" s="159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9.5" customHeight="1" s="122">
      <c r="A362" s="121" t="n"/>
      <c r="B362" s="133" t="n">
        <v>359</v>
      </c>
      <c r="C362" s="157" t="n"/>
      <c r="D362" s="134" t="n"/>
      <c r="E362" s="158">
        <f>IFERROR(IF(D362="","",VLOOKUP(D362,'MASTER DATA'!C5:D19,2,0)),"")</f>
        <v/>
      </c>
      <c r="F362" s="136" t="n"/>
      <c r="G362" s="136" t="n"/>
      <c r="H362" s="134" t="n"/>
      <c r="I362" s="159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9.5" customHeight="1" s="122">
      <c r="A363" s="121" t="n"/>
      <c r="B363" s="143" t="n">
        <v>360</v>
      </c>
      <c r="C363" s="157" t="n"/>
      <c r="D363" s="134" t="n"/>
      <c r="E363" s="160">
        <f>IFERROR(IF(D363="","",VLOOKUP(D363,'MASTER DATA'!C5:D19,2,0)),"")</f>
        <v/>
      </c>
      <c r="F363" s="136" t="n"/>
      <c r="G363" s="136" t="n"/>
      <c r="H363" s="134" t="n"/>
      <c r="I363" s="159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9.5" customHeight="1" s="122">
      <c r="A364" s="121" t="n"/>
      <c r="B364" s="133" t="n">
        <v>361</v>
      </c>
      <c r="C364" s="157" t="n"/>
      <c r="D364" s="134" t="n"/>
      <c r="E364" s="158">
        <f>IFERROR(IF(D364="","",VLOOKUP(D364,'MASTER DATA'!C5:D19,2,0)),"")</f>
        <v/>
      </c>
      <c r="F364" s="136" t="n"/>
      <c r="G364" s="136" t="n"/>
      <c r="H364" s="134" t="n"/>
      <c r="I364" s="159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9.5" customHeight="1" s="122">
      <c r="A365" s="121" t="n"/>
      <c r="B365" s="143" t="n">
        <v>362</v>
      </c>
      <c r="C365" s="157" t="n"/>
      <c r="D365" s="134" t="n"/>
      <c r="E365" s="160">
        <f>IFERROR(IF(D365="","",VLOOKUP(D365,'MASTER DATA'!C5:D19,2,0)),"")</f>
        <v/>
      </c>
      <c r="F365" s="136" t="n"/>
      <c r="G365" s="136" t="n"/>
      <c r="H365" s="134" t="n"/>
      <c r="I365" s="159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9.5" customHeight="1" s="122">
      <c r="A366" s="121" t="n"/>
      <c r="B366" s="133" t="n">
        <v>363</v>
      </c>
      <c r="C366" s="157" t="n"/>
      <c r="D366" s="134" t="n"/>
      <c r="E366" s="158">
        <f>IFERROR(IF(D366="","",VLOOKUP(D366,'MASTER DATA'!C5:D19,2,0)),"")</f>
        <v/>
      </c>
      <c r="F366" s="136" t="n"/>
      <c r="G366" s="136" t="n"/>
      <c r="H366" s="134" t="n"/>
      <c r="I366" s="159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9.5" customHeight="1" s="122">
      <c r="A367" s="121" t="n"/>
      <c r="B367" s="143" t="n">
        <v>364</v>
      </c>
      <c r="C367" s="157" t="n"/>
      <c r="D367" s="134" t="n"/>
      <c r="E367" s="160">
        <f>IFERROR(IF(D367="","",VLOOKUP(D367,'MASTER DATA'!C5:D19,2,0)),"")</f>
        <v/>
      </c>
      <c r="F367" s="136" t="n"/>
      <c r="G367" s="136" t="n"/>
      <c r="H367" s="134" t="n"/>
      <c r="I367" s="159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9.5" customHeight="1" s="122">
      <c r="A368" s="121" t="n"/>
      <c r="B368" s="133" t="n">
        <v>365</v>
      </c>
      <c r="C368" s="157" t="n"/>
      <c r="D368" s="134" t="n"/>
      <c r="E368" s="158">
        <f>IFERROR(IF(D368="","",VLOOKUP(D368,'MASTER DATA'!C5:D19,2,0)),"")</f>
        <v/>
      </c>
      <c r="F368" s="136" t="n"/>
      <c r="G368" s="136" t="n"/>
      <c r="H368" s="134" t="n"/>
      <c r="I368" s="159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9.5" customHeight="1" s="122">
      <c r="A369" s="121" t="n"/>
      <c r="B369" s="143" t="n">
        <v>366</v>
      </c>
      <c r="C369" s="157" t="n"/>
      <c r="D369" s="134" t="n"/>
      <c r="E369" s="160">
        <f>IFERROR(IF(D369="","",VLOOKUP(D369,'MASTER DATA'!C5:D19,2,0)),"")</f>
        <v/>
      </c>
      <c r="F369" s="136" t="n"/>
      <c r="G369" s="136" t="n"/>
      <c r="H369" s="134" t="n"/>
      <c r="I369" s="159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9.5" customHeight="1" s="122">
      <c r="A370" s="121" t="n"/>
      <c r="B370" s="133" t="n">
        <v>367</v>
      </c>
      <c r="C370" s="157" t="n"/>
      <c r="D370" s="134" t="n"/>
      <c r="E370" s="158">
        <f>IFERROR(IF(D370="","",VLOOKUP(D370,'MASTER DATA'!C5:D19,2,0)),"")</f>
        <v/>
      </c>
      <c r="F370" s="136" t="n"/>
      <c r="G370" s="136" t="n"/>
      <c r="H370" s="134" t="n"/>
      <c r="I370" s="159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9.5" customHeight="1" s="122">
      <c r="A371" s="121" t="n"/>
      <c r="B371" s="143" t="n">
        <v>368</v>
      </c>
      <c r="C371" s="157" t="n"/>
      <c r="D371" s="134" t="n"/>
      <c r="E371" s="160">
        <f>IFERROR(IF(D371="","",VLOOKUP(D371,'MASTER DATA'!C5:D19,2,0)),"")</f>
        <v/>
      </c>
      <c r="F371" s="136" t="n"/>
      <c r="G371" s="136" t="n"/>
      <c r="H371" s="134" t="n"/>
      <c r="I371" s="159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9.5" customHeight="1" s="122">
      <c r="A372" s="121" t="n"/>
      <c r="B372" s="133" t="n">
        <v>369</v>
      </c>
      <c r="C372" s="157" t="n"/>
      <c r="D372" s="134" t="n"/>
      <c r="E372" s="158">
        <f>IFERROR(IF(D372="","",VLOOKUP(D372,'MASTER DATA'!C5:D19,2,0)),"")</f>
        <v/>
      </c>
      <c r="F372" s="136" t="n"/>
      <c r="G372" s="136" t="n"/>
      <c r="H372" s="134" t="n"/>
      <c r="I372" s="159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9.5" customHeight="1" s="122">
      <c r="A373" s="121" t="n"/>
      <c r="B373" s="143" t="n">
        <v>370</v>
      </c>
      <c r="C373" s="157" t="n"/>
      <c r="D373" s="134" t="n"/>
      <c r="E373" s="160">
        <f>IFERROR(IF(D373="","",VLOOKUP(D373,'MASTER DATA'!C5:D19,2,0)),"")</f>
        <v/>
      </c>
      <c r="F373" s="136" t="n"/>
      <c r="G373" s="136" t="n"/>
      <c r="H373" s="134" t="n"/>
      <c r="I373" s="159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9.5" customHeight="1" s="122">
      <c r="A374" s="121" t="n"/>
      <c r="B374" s="133" t="n">
        <v>371</v>
      </c>
      <c r="C374" s="157" t="n"/>
      <c r="D374" s="134" t="n"/>
      <c r="E374" s="158">
        <f>IFERROR(IF(D374="","",VLOOKUP(D374,'MASTER DATA'!C5:D19,2,0)),"")</f>
        <v/>
      </c>
      <c r="F374" s="136" t="n"/>
      <c r="G374" s="136" t="n"/>
      <c r="H374" s="134" t="n"/>
      <c r="I374" s="159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9.5" customHeight="1" s="122">
      <c r="A375" s="121" t="n"/>
      <c r="B375" s="143" t="n">
        <v>372</v>
      </c>
      <c r="C375" s="157" t="n"/>
      <c r="D375" s="134" t="n"/>
      <c r="E375" s="160">
        <f>IFERROR(IF(D375="","",VLOOKUP(D375,'MASTER DATA'!C5:D19,2,0)),"")</f>
        <v/>
      </c>
      <c r="F375" s="136" t="n"/>
      <c r="G375" s="136" t="n"/>
      <c r="H375" s="134" t="n"/>
      <c r="I375" s="159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9.5" customHeight="1" s="122">
      <c r="A376" s="121" t="n"/>
      <c r="B376" s="133" t="n">
        <v>373</v>
      </c>
      <c r="C376" s="157" t="n"/>
      <c r="D376" s="134" t="n"/>
      <c r="E376" s="158">
        <f>IFERROR(IF(D376="","",VLOOKUP(D376,'MASTER DATA'!C5:D19,2,0)),"")</f>
        <v/>
      </c>
      <c r="F376" s="136" t="n"/>
      <c r="G376" s="136" t="n"/>
      <c r="H376" s="134" t="n"/>
      <c r="I376" s="159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9.5" customHeight="1" s="122">
      <c r="A377" s="121" t="n"/>
      <c r="B377" s="143" t="n">
        <v>374</v>
      </c>
      <c r="C377" s="157" t="n"/>
      <c r="D377" s="134" t="n"/>
      <c r="E377" s="160">
        <f>IFERROR(IF(D377="","",VLOOKUP(D377,'MASTER DATA'!C5:D19,2,0)),"")</f>
        <v/>
      </c>
      <c r="F377" s="136" t="n"/>
      <c r="G377" s="136" t="n"/>
      <c r="H377" s="134" t="n"/>
      <c r="I377" s="159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9.5" customHeight="1" s="122">
      <c r="A378" s="121" t="n"/>
      <c r="B378" s="133" t="n">
        <v>375</v>
      </c>
      <c r="C378" s="157" t="n"/>
      <c r="D378" s="134" t="n"/>
      <c r="E378" s="158">
        <f>IFERROR(IF(D378="","",VLOOKUP(D378,'MASTER DATA'!C5:D19,2,0)),"")</f>
        <v/>
      </c>
      <c r="F378" s="136" t="n"/>
      <c r="G378" s="136" t="n"/>
      <c r="H378" s="134" t="n"/>
      <c r="I378" s="159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9.5" customHeight="1" s="122">
      <c r="A379" s="121" t="n"/>
      <c r="B379" s="143" t="n">
        <v>376</v>
      </c>
      <c r="C379" s="157" t="n"/>
      <c r="D379" s="134" t="n"/>
      <c r="E379" s="160">
        <f>IFERROR(IF(D379="","",VLOOKUP(D379,'MASTER DATA'!C5:D19,2,0)),"")</f>
        <v/>
      </c>
      <c r="F379" s="136" t="n"/>
      <c r="G379" s="136" t="n"/>
      <c r="H379" s="134" t="n"/>
      <c r="I379" s="159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9.5" customHeight="1" s="122">
      <c r="A380" s="121" t="n"/>
      <c r="B380" s="133" t="n">
        <v>377</v>
      </c>
      <c r="C380" s="157" t="n"/>
      <c r="D380" s="134" t="n"/>
      <c r="E380" s="158">
        <f>IFERROR(IF(D380="","",VLOOKUP(D380,'MASTER DATA'!C5:D19,2,0)),"")</f>
        <v/>
      </c>
      <c r="F380" s="136" t="n"/>
      <c r="G380" s="136" t="n"/>
      <c r="H380" s="134" t="n"/>
      <c r="I380" s="159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9.5" customHeight="1" s="122">
      <c r="A381" s="121" t="n"/>
      <c r="B381" s="143" t="n">
        <v>378</v>
      </c>
      <c r="C381" s="157" t="n"/>
      <c r="D381" s="134" t="n"/>
      <c r="E381" s="160">
        <f>IFERROR(IF(D381="","",VLOOKUP(D381,'MASTER DATA'!C5:D19,2,0)),"")</f>
        <v/>
      </c>
      <c r="F381" s="136" t="n"/>
      <c r="G381" s="136" t="n"/>
      <c r="H381" s="134" t="n"/>
      <c r="I381" s="159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9.5" customHeight="1" s="122">
      <c r="A382" s="121" t="n"/>
      <c r="B382" s="133" t="n">
        <v>379</v>
      </c>
      <c r="C382" s="157" t="n"/>
      <c r="D382" s="134" t="n"/>
      <c r="E382" s="158">
        <f>IFERROR(IF(D382="","",VLOOKUP(D382,'MASTER DATA'!C5:D19,2,0)),"")</f>
        <v/>
      </c>
      <c r="F382" s="136" t="n"/>
      <c r="G382" s="136" t="n"/>
      <c r="H382" s="134" t="n"/>
      <c r="I382" s="159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9.5" customHeight="1" s="122">
      <c r="A383" s="121" t="n"/>
      <c r="B383" s="143" t="n">
        <v>380</v>
      </c>
      <c r="C383" s="157" t="n"/>
      <c r="D383" s="134" t="n"/>
      <c r="E383" s="160">
        <f>IFERROR(IF(D383="","",VLOOKUP(D383,'MASTER DATA'!C5:D19,2,0)),"")</f>
        <v/>
      </c>
      <c r="F383" s="136" t="n"/>
      <c r="G383" s="136" t="n"/>
      <c r="H383" s="134" t="n"/>
      <c r="I383" s="159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9.5" customHeight="1" s="122">
      <c r="A384" s="121" t="n"/>
      <c r="B384" s="133" t="n">
        <v>381</v>
      </c>
      <c r="C384" s="157" t="n"/>
      <c r="D384" s="134" t="n"/>
      <c r="E384" s="158">
        <f>IFERROR(IF(D384="","",VLOOKUP(D384,'MASTER DATA'!C5:D19,2,0)),"")</f>
        <v/>
      </c>
      <c r="F384" s="136" t="n"/>
      <c r="G384" s="136" t="n"/>
      <c r="H384" s="134" t="n"/>
      <c r="I384" s="159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9.5" customHeight="1" s="122">
      <c r="A385" s="121" t="n"/>
      <c r="B385" s="143" t="n">
        <v>382</v>
      </c>
      <c r="C385" s="157" t="n"/>
      <c r="D385" s="134" t="n"/>
      <c r="E385" s="160">
        <f>IFERROR(IF(D385="","",VLOOKUP(D385,'MASTER DATA'!C5:D19,2,0)),"")</f>
        <v/>
      </c>
      <c r="F385" s="136" t="n"/>
      <c r="G385" s="136" t="n"/>
      <c r="H385" s="134" t="n"/>
      <c r="I385" s="159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9.5" customHeight="1" s="122">
      <c r="A386" s="121" t="n"/>
      <c r="B386" s="133" t="n">
        <v>383</v>
      </c>
      <c r="C386" s="157" t="n"/>
      <c r="D386" s="134" t="n"/>
      <c r="E386" s="158">
        <f>IFERROR(IF(D386="","",VLOOKUP(D386,'MASTER DATA'!C5:D19,2,0)),"")</f>
        <v/>
      </c>
      <c r="F386" s="136" t="n"/>
      <c r="G386" s="136" t="n"/>
      <c r="H386" s="134" t="n"/>
      <c r="I386" s="159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9.5" customHeight="1" s="122">
      <c r="A387" s="121" t="n"/>
      <c r="B387" s="143" t="n">
        <v>384</v>
      </c>
      <c r="C387" s="157" t="n"/>
      <c r="D387" s="134" t="n"/>
      <c r="E387" s="160">
        <f>IFERROR(IF(D387="","",VLOOKUP(D387,'MASTER DATA'!C5:D19,2,0)),"")</f>
        <v/>
      </c>
      <c r="F387" s="136" t="n"/>
      <c r="G387" s="136" t="n"/>
      <c r="H387" s="134" t="n"/>
      <c r="I387" s="159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9.5" customHeight="1" s="122">
      <c r="A388" s="121" t="n"/>
      <c r="B388" s="133" t="n">
        <v>385</v>
      </c>
      <c r="C388" s="157" t="n"/>
      <c r="D388" s="134" t="n"/>
      <c r="E388" s="158">
        <f>IFERROR(IF(D388="","",VLOOKUP(D388,'MASTER DATA'!C5:D19,2,0)),"")</f>
        <v/>
      </c>
      <c r="F388" s="136" t="n"/>
      <c r="G388" s="136" t="n"/>
      <c r="H388" s="134" t="n"/>
      <c r="I388" s="159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9.5" customHeight="1" s="122">
      <c r="A389" s="121" t="n"/>
      <c r="B389" s="143" t="n">
        <v>386</v>
      </c>
      <c r="C389" s="157" t="n"/>
      <c r="D389" s="134" t="n"/>
      <c r="E389" s="160">
        <f>IFERROR(IF(D389="","",VLOOKUP(D389,'MASTER DATA'!C5:D19,2,0)),"")</f>
        <v/>
      </c>
      <c r="F389" s="136" t="n"/>
      <c r="G389" s="136" t="n"/>
      <c r="H389" s="134" t="n"/>
      <c r="I389" s="159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9.5" customHeight="1" s="122">
      <c r="A390" s="121" t="n"/>
      <c r="B390" s="133" t="n">
        <v>387</v>
      </c>
      <c r="C390" s="157" t="n"/>
      <c r="D390" s="134" t="n"/>
      <c r="E390" s="158">
        <f>IFERROR(IF(D390="","",VLOOKUP(D390,'MASTER DATA'!C5:D19,2,0)),"")</f>
        <v/>
      </c>
      <c r="F390" s="136" t="n"/>
      <c r="G390" s="136" t="n"/>
      <c r="H390" s="134" t="n"/>
      <c r="I390" s="159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9.5" customHeight="1" s="122">
      <c r="A391" s="121" t="n"/>
      <c r="B391" s="143" t="n">
        <v>388</v>
      </c>
      <c r="C391" s="157" t="n"/>
      <c r="D391" s="134" t="n"/>
      <c r="E391" s="160">
        <f>IFERROR(IF(D391="","",VLOOKUP(D391,'MASTER DATA'!C5:D19,2,0)),"")</f>
        <v/>
      </c>
      <c r="F391" s="136" t="n"/>
      <c r="G391" s="136" t="n"/>
      <c r="H391" s="134" t="n"/>
      <c r="I391" s="159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9.5" customHeight="1" s="122">
      <c r="A392" s="121" t="n"/>
      <c r="B392" s="133" t="n">
        <v>389</v>
      </c>
      <c r="C392" s="157" t="n"/>
      <c r="D392" s="134" t="n"/>
      <c r="E392" s="158">
        <f>IFERROR(IF(D392="","",VLOOKUP(D392,'MASTER DATA'!C5:D19,2,0)),"")</f>
        <v/>
      </c>
      <c r="F392" s="136" t="n"/>
      <c r="G392" s="136" t="n"/>
      <c r="H392" s="134" t="n"/>
      <c r="I392" s="159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9.5" customHeight="1" s="122">
      <c r="A393" s="121" t="n"/>
      <c r="B393" s="143" t="n">
        <v>390</v>
      </c>
      <c r="C393" s="157" t="n"/>
      <c r="D393" s="134" t="n"/>
      <c r="E393" s="160">
        <f>IFERROR(IF(D393="","",VLOOKUP(D393,'MASTER DATA'!C5:D19,2,0)),"")</f>
        <v/>
      </c>
      <c r="F393" s="136" t="n"/>
      <c r="G393" s="136" t="n"/>
      <c r="H393" s="134" t="n"/>
      <c r="I393" s="159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9.5" customHeight="1" s="122">
      <c r="A394" s="121" t="n"/>
      <c r="B394" s="133" t="n">
        <v>391</v>
      </c>
      <c r="C394" s="157" t="n"/>
      <c r="D394" s="134" t="n"/>
      <c r="E394" s="158">
        <f>IFERROR(IF(D394="","",VLOOKUP(D394,'MASTER DATA'!C5:D19,2,0)),"")</f>
        <v/>
      </c>
      <c r="F394" s="136" t="n"/>
      <c r="G394" s="136" t="n"/>
      <c r="H394" s="134" t="n"/>
      <c r="I394" s="159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9.5" customHeight="1" s="122">
      <c r="A395" s="121" t="n"/>
      <c r="B395" s="143" t="n">
        <v>392</v>
      </c>
      <c r="C395" s="157" t="n"/>
      <c r="D395" s="134" t="n"/>
      <c r="E395" s="160">
        <f>IFERROR(IF(D395="","",VLOOKUP(D395,'MASTER DATA'!C5:D19,2,0)),"")</f>
        <v/>
      </c>
      <c r="F395" s="136" t="n"/>
      <c r="G395" s="136" t="n"/>
      <c r="H395" s="134" t="n"/>
      <c r="I395" s="159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9.5" customHeight="1" s="122">
      <c r="A396" s="121" t="n"/>
      <c r="B396" s="133" t="n">
        <v>393</v>
      </c>
      <c r="C396" s="157" t="n"/>
      <c r="D396" s="134" t="n"/>
      <c r="E396" s="158">
        <f>IFERROR(IF(D396="","",VLOOKUP(D396,'MASTER DATA'!C5:D19,2,0)),"")</f>
        <v/>
      </c>
      <c r="F396" s="136" t="n"/>
      <c r="G396" s="136" t="n"/>
      <c r="H396" s="134" t="n"/>
      <c r="I396" s="159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9.5" customHeight="1" s="122">
      <c r="A397" s="121" t="n"/>
      <c r="B397" s="143" t="n">
        <v>394</v>
      </c>
      <c r="C397" s="157" t="n"/>
      <c r="D397" s="134" t="n"/>
      <c r="E397" s="160">
        <f>IFERROR(IF(D397="","",VLOOKUP(D397,'MASTER DATA'!C5:D19,2,0)),"")</f>
        <v/>
      </c>
      <c r="F397" s="136" t="n"/>
      <c r="G397" s="136" t="n"/>
      <c r="H397" s="134" t="n"/>
      <c r="I397" s="159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9.5" customHeight="1" s="122">
      <c r="A398" s="121" t="n"/>
      <c r="B398" s="133" t="n">
        <v>395</v>
      </c>
      <c r="C398" s="157" t="n"/>
      <c r="D398" s="134" t="n"/>
      <c r="E398" s="158">
        <f>IFERROR(IF(D398="","",VLOOKUP(D398,'MASTER DATA'!C5:D19,2,0)),"")</f>
        <v/>
      </c>
      <c r="F398" s="136" t="n"/>
      <c r="G398" s="136" t="n"/>
      <c r="H398" s="134" t="n"/>
      <c r="I398" s="159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9.5" customHeight="1" s="122">
      <c r="A399" s="121" t="n"/>
      <c r="B399" s="143" t="n">
        <v>396</v>
      </c>
      <c r="C399" s="157" t="n"/>
      <c r="D399" s="134" t="n"/>
      <c r="E399" s="160">
        <f>IFERROR(IF(D399="","",VLOOKUP(D399,'MASTER DATA'!C5:D19,2,0)),"")</f>
        <v/>
      </c>
      <c r="F399" s="136" t="n"/>
      <c r="G399" s="136" t="n"/>
      <c r="H399" s="134" t="n"/>
      <c r="I399" s="159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9.5" customHeight="1" s="122">
      <c r="A400" s="121" t="n"/>
      <c r="B400" s="133" t="n">
        <v>397</v>
      </c>
      <c r="C400" s="157" t="n"/>
      <c r="D400" s="134" t="n"/>
      <c r="E400" s="158">
        <f>IFERROR(IF(D400="","",VLOOKUP(D400,'MASTER DATA'!C5:D19,2,0)),"")</f>
        <v/>
      </c>
      <c r="F400" s="136" t="n"/>
      <c r="G400" s="136" t="n"/>
      <c r="H400" s="134" t="n"/>
      <c r="I400" s="159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9.5" customHeight="1" s="122">
      <c r="A401" s="121" t="n"/>
      <c r="B401" s="143" t="n">
        <v>398</v>
      </c>
      <c r="C401" s="157" t="n"/>
      <c r="D401" s="134" t="n"/>
      <c r="E401" s="160">
        <f>IFERROR(IF(D401="","",VLOOKUP(D401,'MASTER DATA'!C5:D19,2,0)),"")</f>
        <v/>
      </c>
      <c r="F401" s="136" t="n"/>
      <c r="G401" s="136" t="n"/>
      <c r="H401" s="134" t="n"/>
      <c r="I401" s="159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9.5" customHeight="1" s="122">
      <c r="A402" s="121" t="n"/>
      <c r="B402" s="133" t="n">
        <v>399</v>
      </c>
      <c r="C402" s="157" t="n"/>
      <c r="D402" s="134" t="n"/>
      <c r="E402" s="158">
        <f>IFERROR(IF(D402="","",VLOOKUP(D402,'MASTER DATA'!C5:D19,2,0)),"")</f>
        <v/>
      </c>
      <c r="F402" s="136" t="n"/>
      <c r="G402" s="136" t="n"/>
      <c r="H402" s="134" t="n"/>
      <c r="I402" s="159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9.5" customHeight="1" s="122">
      <c r="A403" s="121" t="n"/>
      <c r="B403" s="143" t="n">
        <v>400</v>
      </c>
      <c r="C403" s="157" t="n"/>
      <c r="D403" s="134" t="n"/>
      <c r="E403" s="160">
        <f>IFERROR(IF(D403="","",VLOOKUP(D403,'MASTER DATA'!C5:D19,2,0)),"")</f>
        <v/>
      </c>
      <c r="F403" s="136" t="n"/>
      <c r="G403" s="136" t="n"/>
      <c r="H403" s="134" t="n"/>
      <c r="I403" s="159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9.5" customHeight="1" s="122">
      <c r="A404" s="121" t="n"/>
      <c r="B404" s="133" t="n">
        <v>401</v>
      </c>
      <c r="C404" s="157" t="n"/>
      <c r="D404" s="134" t="n"/>
      <c r="E404" s="158">
        <f>IFERROR(IF(D404="","",VLOOKUP(D404,'MASTER DATA'!C5:D19,2,0)),"")</f>
        <v/>
      </c>
      <c r="F404" s="136" t="n"/>
      <c r="G404" s="136" t="n"/>
      <c r="H404" s="134" t="n"/>
      <c r="I404" s="159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9.5" customHeight="1" s="122">
      <c r="A405" s="121" t="n"/>
      <c r="B405" s="143" t="n">
        <v>402</v>
      </c>
      <c r="C405" s="157" t="n"/>
      <c r="D405" s="134" t="n"/>
      <c r="E405" s="160">
        <f>IFERROR(IF(D405="","",VLOOKUP(D405,'MASTER DATA'!C5:D19,2,0)),"")</f>
        <v/>
      </c>
      <c r="F405" s="136" t="n"/>
      <c r="G405" s="136" t="n"/>
      <c r="H405" s="134" t="n"/>
      <c r="I405" s="159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9.5" customHeight="1" s="122">
      <c r="A406" s="121" t="n"/>
      <c r="B406" s="133" t="n">
        <v>403</v>
      </c>
      <c r="C406" s="157" t="n"/>
      <c r="D406" s="134" t="n"/>
      <c r="E406" s="158">
        <f>IFERROR(IF(D406="","",VLOOKUP(D406,'MASTER DATA'!C5:D19,2,0)),"")</f>
        <v/>
      </c>
      <c r="F406" s="136" t="n"/>
      <c r="G406" s="136" t="n"/>
      <c r="H406" s="134" t="n"/>
      <c r="I406" s="159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9.5" customHeight="1" s="122">
      <c r="A407" s="121" t="n"/>
      <c r="B407" s="143" t="n">
        <v>404</v>
      </c>
      <c r="C407" s="157" t="n"/>
      <c r="D407" s="134" t="n"/>
      <c r="E407" s="160">
        <f>IFERROR(IF(D407="","",VLOOKUP(D407,'MASTER DATA'!C5:D19,2,0)),"")</f>
        <v/>
      </c>
      <c r="F407" s="136" t="n"/>
      <c r="G407" s="136" t="n"/>
      <c r="H407" s="134" t="n"/>
      <c r="I407" s="159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9.5" customHeight="1" s="122">
      <c r="A408" s="121" t="n"/>
      <c r="B408" s="133" t="n">
        <v>405</v>
      </c>
      <c r="C408" s="157" t="n"/>
      <c r="D408" s="134" t="n"/>
      <c r="E408" s="158">
        <f>IFERROR(IF(D408="","",VLOOKUP(D408,'MASTER DATA'!C5:D19,2,0)),"")</f>
        <v/>
      </c>
      <c r="F408" s="136" t="n"/>
      <c r="G408" s="136" t="n"/>
      <c r="H408" s="134" t="n"/>
      <c r="I408" s="159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9.5" customHeight="1" s="122">
      <c r="A409" s="121" t="n"/>
      <c r="B409" s="143" t="n">
        <v>406</v>
      </c>
      <c r="C409" s="157" t="n"/>
      <c r="D409" s="134" t="n"/>
      <c r="E409" s="160">
        <f>IFERROR(IF(D409="","",VLOOKUP(D409,'MASTER DATA'!C5:D19,2,0)),"")</f>
        <v/>
      </c>
      <c r="F409" s="136" t="n"/>
      <c r="G409" s="136" t="n"/>
      <c r="H409" s="134" t="n"/>
      <c r="I409" s="159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9.5" customHeight="1" s="122">
      <c r="A410" s="121" t="n"/>
      <c r="B410" s="133" t="n">
        <v>407</v>
      </c>
      <c r="C410" s="157" t="n"/>
      <c r="D410" s="134" t="n"/>
      <c r="E410" s="158">
        <f>IFERROR(IF(D410="","",VLOOKUP(D410,'MASTER DATA'!C5:D19,2,0)),"")</f>
        <v/>
      </c>
      <c r="F410" s="136" t="n"/>
      <c r="G410" s="136" t="n"/>
      <c r="H410" s="134" t="n"/>
      <c r="I410" s="159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9.5" customHeight="1" s="122">
      <c r="A411" s="121" t="n"/>
      <c r="B411" s="143" t="n">
        <v>408</v>
      </c>
      <c r="C411" s="157" t="n"/>
      <c r="D411" s="134" t="n"/>
      <c r="E411" s="160">
        <f>IFERROR(IF(D411="","",VLOOKUP(D411,'MASTER DATA'!C5:D19,2,0)),"")</f>
        <v/>
      </c>
      <c r="F411" s="136" t="n"/>
      <c r="G411" s="136" t="n"/>
      <c r="H411" s="134" t="n"/>
      <c r="I411" s="159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9.5" customHeight="1" s="122">
      <c r="A412" s="121" t="n"/>
      <c r="B412" s="133" t="n">
        <v>409</v>
      </c>
      <c r="C412" s="157" t="n"/>
      <c r="D412" s="134" t="n"/>
      <c r="E412" s="158">
        <f>IFERROR(IF(D412="","",VLOOKUP(D412,'MASTER DATA'!C5:D19,2,0)),"")</f>
        <v/>
      </c>
      <c r="F412" s="136" t="n"/>
      <c r="G412" s="136" t="n"/>
      <c r="H412" s="134" t="n"/>
      <c r="I412" s="159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9.5" customHeight="1" s="122">
      <c r="A413" s="121" t="n"/>
      <c r="B413" s="143" t="n">
        <v>410</v>
      </c>
      <c r="C413" s="157" t="n"/>
      <c r="D413" s="134" t="n"/>
      <c r="E413" s="160">
        <f>IFERROR(IF(D413="","",VLOOKUP(D413,'MASTER DATA'!C5:D19,2,0)),"")</f>
        <v/>
      </c>
      <c r="F413" s="136" t="n"/>
      <c r="G413" s="136" t="n"/>
      <c r="H413" s="134" t="n"/>
      <c r="I413" s="159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9.5" customHeight="1" s="122">
      <c r="A414" s="121" t="n"/>
      <c r="B414" s="133" t="n">
        <v>411</v>
      </c>
      <c r="C414" s="157" t="n"/>
      <c r="D414" s="134" t="n"/>
      <c r="E414" s="158">
        <f>IFERROR(IF(D414="","",VLOOKUP(D414,'MASTER DATA'!C5:D19,2,0)),"")</f>
        <v/>
      </c>
      <c r="F414" s="136" t="n"/>
      <c r="G414" s="136" t="n"/>
      <c r="H414" s="134" t="n"/>
      <c r="I414" s="159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9.5" customHeight="1" s="122">
      <c r="A415" s="121" t="n"/>
      <c r="B415" s="143" t="n">
        <v>412</v>
      </c>
      <c r="C415" s="157" t="n"/>
      <c r="D415" s="134" t="n"/>
      <c r="E415" s="160">
        <f>IFERROR(IF(D415="","",VLOOKUP(D415,'MASTER DATA'!C5:D19,2,0)),"")</f>
        <v/>
      </c>
      <c r="F415" s="136" t="n"/>
      <c r="G415" s="136" t="n"/>
      <c r="H415" s="134" t="n"/>
      <c r="I415" s="159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9.5" customHeight="1" s="122">
      <c r="A416" s="121" t="n"/>
      <c r="B416" s="133" t="n">
        <v>413</v>
      </c>
      <c r="C416" s="157" t="n"/>
      <c r="D416" s="134" t="n"/>
      <c r="E416" s="158">
        <f>IFERROR(IF(D416="","",VLOOKUP(D416,'MASTER DATA'!C5:D19,2,0)),"")</f>
        <v/>
      </c>
      <c r="F416" s="136" t="n"/>
      <c r="G416" s="136" t="n"/>
      <c r="H416" s="134" t="n"/>
      <c r="I416" s="159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9.5" customHeight="1" s="122">
      <c r="A417" s="121" t="n"/>
      <c r="B417" s="143" t="n">
        <v>414</v>
      </c>
      <c r="C417" s="157" t="n"/>
      <c r="D417" s="134" t="n"/>
      <c r="E417" s="160">
        <f>IFERROR(IF(D417="","",VLOOKUP(D417,'MASTER DATA'!C5:D19,2,0)),"")</f>
        <v/>
      </c>
      <c r="F417" s="136" t="n"/>
      <c r="G417" s="136" t="n"/>
      <c r="H417" s="134" t="n"/>
      <c r="I417" s="159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9.5" customHeight="1" s="122">
      <c r="A418" s="121" t="n"/>
      <c r="B418" s="133" t="n">
        <v>415</v>
      </c>
      <c r="C418" s="157" t="n"/>
      <c r="D418" s="134" t="n"/>
      <c r="E418" s="158">
        <f>IFERROR(IF(D418="","",VLOOKUP(D418,'MASTER DATA'!C5:D19,2,0)),"")</f>
        <v/>
      </c>
      <c r="F418" s="136" t="n"/>
      <c r="G418" s="136" t="n"/>
      <c r="H418" s="134" t="n"/>
      <c r="I418" s="159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9.5" customHeight="1" s="122">
      <c r="A419" s="121" t="n"/>
      <c r="B419" s="143" t="n">
        <v>416</v>
      </c>
      <c r="C419" s="157" t="n"/>
      <c r="D419" s="134" t="n"/>
      <c r="E419" s="160">
        <f>IFERROR(IF(D419="","",VLOOKUP(D419,'MASTER DATA'!C5:D19,2,0)),"")</f>
        <v/>
      </c>
      <c r="F419" s="136" t="n"/>
      <c r="G419" s="136" t="n"/>
      <c r="H419" s="134" t="n"/>
      <c r="I419" s="159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9.5" customHeight="1" s="122">
      <c r="A420" s="121" t="n"/>
      <c r="B420" s="133" t="n">
        <v>417</v>
      </c>
      <c r="C420" s="157" t="n"/>
      <c r="D420" s="134" t="n"/>
      <c r="E420" s="158">
        <f>IFERROR(IF(D420="","",VLOOKUP(D420,'MASTER DATA'!C5:D19,2,0)),"")</f>
        <v/>
      </c>
      <c r="F420" s="136" t="n"/>
      <c r="G420" s="136" t="n"/>
      <c r="H420" s="134" t="n"/>
      <c r="I420" s="159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9.5" customHeight="1" s="122">
      <c r="A421" s="121" t="n"/>
      <c r="B421" s="143" t="n">
        <v>418</v>
      </c>
      <c r="C421" s="157" t="n"/>
      <c r="D421" s="134" t="n"/>
      <c r="E421" s="160">
        <f>IFERROR(IF(D421="","",VLOOKUP(D421,'MASTER DATA'!C5:D19,2,0)),"")</f>
        <v/>
      </c>
      <c r="F421" s="136" t="n"/>
      <c r="G421" s="136" t="n"/>
      <c r="H421" s="134" t="n"/>
      <c r="I421" s="159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9.5" customHeight="1" s="122">
      <c r="A422" s="121" t="n"/>
      <c r="B422" s="133" t="n">
        <v>419</v>
      </c>
      <c r="C422" s="157" t="n"/>
      <c r="D422" s="134" t="n"/>
      <c r="E422" s="158">
        <f>IFERROR(IF(D422="","",VLOOKUP(D422,'MASTER DATA'!C5:D19,2,0)),"")</f>
        <v/>
      </c>
      <c r="F422" s="136" t="n"/>
      <c r="G422" s="136" t="n"/>
      <c r="H422" s="134" t="n"/>
      <c r="I422" s="159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9.5" customHeight="1" s="122">
      <c r="A423" s="121" t="n"/>
      <c r="B423" s="143" t="n">
        <v>420</v>
      </c>
      <c r="C423" s="157" t="n"/>
      <c r="D423" s="134" t="n"/>
      <c r="E423" s="160">
        <f>IFERROR(IF(D423="","",VLOOKUP(D423,'MASTER DATA'!C5:D19,2,0)),"")</f>
        <v/>
      </c>
      <c r="F423" s="136" t="n"/>
      <c r="G423" s="136" t="n"/>
      <c r="H423" s="134" t="n"/>
      <c r="I423" s="159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9.5" customHeight="1" s="122">
      <c r="A424" s="121" t="n"/>
      <c r="B424" s="133" t="n">
        <v>421</v>
      </c>
      <c r="C424" s="157" t="n"/>
      <c r="D424" s="134" t="n"/>
      <c r="E424" s="158">
        <f>IFERROR(IF(D424="","",VLOOKUP(D424,'MASTER DATA'!C5:D19,2,0)),"")</f>
        <v/>
      </c>
      <c r="F424" s="136" t="n"/>
      <c r="G424" s="136" t="n"/>
      <c r="H424" s="134" t="n"/>
      <c r="I424" s="159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9.5" customHeight="1" s="122">
      <c r="A425" s="121" t="n"/>
      <c r="B425" s="143" t="n">
        <v>422</v>
      </c>
      <c r="C425" s="157" t="n"/>
      <c r="D425" s="134" t="n"/>
      <c r="E425" s="160">
        <f>IFERROR(IF(D425="","",VLOOKUP(D425,'MASTER DATA'!C5:D19,2,0)),"")</f>
        <v/>
      </c>
      <c r="F425" s="136" t="n"/>
      <c r="G425" s="136" t="n"/>
      <c r="H425" s="134" t="n"/>
      <c r="I425" s="159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9.5" customHeight="1" s="122">
      <c r="A426" s="121" t="n"/>
      <c r="B426" s="133" t="n">
        <v>423</v>
      </c>
      <c r="C426" s="157" t="n"/>
      <c r="D426" s="134" t="n"/>
      <c r="E426" s="158">
        <f>IFERROR(IF(D426="","",VLOOKUP(D426,'MASTER DATA'!C5:D19,2,0)),"")</f>
        <v/>
      </c>
      <c r="F426" s="136" t="n"/>
      <c r="G426" s="136" t="n"/>
      <c r="H426" s="134" t="n"/>
      <c r="I426" s="159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9.5" customHeight="1" s="122">
      <c r="A427" s="121" t="n"/>
      <c r="B427" s="143" t="n">
        <v>424</v>
      </c>
      <c r="C427" s="157" t="n"/>
      <c r="D427" s="134" t="n"/>
      <c r="E427" s="160">
        <f>IFERROR(IF(D427="","",VLOOKUP(D427,'MASTER DATA'!C5:D19,2,0)),"")</f>
        <v/>
      </c>
      <c r="F427" s="136" t="n"/>
      <c r="G427" s="136" t="n"/>
      <c r="H427" s="134" t="n"/>
      <c r="I427" s="159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9.5" customHeight="1" s="122">
      <c r="A428" s="121" t="n"/>
      <c r="B428" s="133" t="n">
        <v>425</v>
      </c>
      <c r="C428" s="157" t="n"/>
      <c r="D428" s="134" t="n"/>
      <c r="E428" s="158">
        <f>IFERROR(IF(D428="","",VLOOKUP(D428,'MASTER DATA'!C5:D19,2,0)),"")</f>
        <v/>
      </c>
      <c r="F428" s="136" t="n"/>
      <c r="G428" s="136" t="n"/>
      <c r="H428" s="134" t="n"/>
      <c r="I428" s="159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9.5" customHeight="1" s="122">
      <c r="A429" s="121" t="n"/>
      <c r="B429" s="143" t="n">
        <v>426</v>
      </c>
      <c r="C429" s="157" t="n"/>
      <c r="D429" s="134" t="n"/>
      <c r="E429" s="160">
        <f>IFERROR(IF(D429="","",VLOOKUP(D429,'MASTER DATA'!C5:D19,2,0)),"")</f>
        <v/>
      </c>
      <c r="F429" s="136" t="n"/>
      <c r="G429" s="136" t="n"/>
      <c r="H429" s="134" t="n"/>
      <c r="I429" s="159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9.5" customHeight="1" s="122">
      <c r="A430" s="121" t="n"/>
      <c r="B430" s="133" t="n">
        <v>427</v>
      </c>
      <c r="C430" s="157" t="n"/>
      <c r="D430" s="134" t="n"/>
      <c r="E430" s="158">
        <f>IFERROR(IF(D430="","",VLOOKUP(D430,'MASTER DATA'!C5:D19,2,0)),"")</f>
        <v/>
      </c>
      <c r="F430" s="136" t="n"/>
      <c r="G430" s="136" t="n"/>
      <c r="H430" s="134" t="n"/>
      <c r="I430" s="159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9.5" customHeight="1" s="122">
      <c r="A431" s="121" t="n"/>
      <c r="B431" s="143" t="n">
        <v>428</v>
      </c>
      <c r="C431" s="157" t="n"/>
      <c r="D431" s="134" t="n"/>
      <c r="E431" s="160">
        <f>IFERROR(IF(D431="","",VLOOKUP(D431,'MASTER DATA'!C5:D19,2,0)),"")</f>
        <v/>
      </c>
      <c r="F431" s="136" t="n"/>
      <c r="G431" s="136" t="n"/>
      <c r="H431" s="134" t="n"/>
      <c r="I431" s="159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9.5" customHeight="1" s="122">
      <c r="A432" s="121" t="n"/>
      <c r="B432" s="133" t="n">
        <v>429</v>
      </c>
      <c r="C432" s="157" t="n"/>
      <c r="D432" s="134" t="n"/>
      <c r="E432" s="158">
        <f>IFERROR(IF(D432="","",VLOOKUP(D432,'MASTER DATA'!C5:D19,2,0)),"")</f>
        <v/>
      </c>
      <c r="F432" s="136" t="n"/>
      <c r="G432" s="136" t="n"/>
      <c r="H432" s="134" t="n"/>
      <c r="I432" s="159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9.5" customHeight="1" s="122">
      <c r="A433" s="121" t="n"/>
      <c r="B433" s="143" t="n">
        <v>430</v>
      </c>
      <c r="C433" s="157" t="n"/>
      <c r="D433" s="134" t="n"/>
      <c r="E433" s="160">
        <f>IFERROR(IF(D433="","",VLOOKUP(D433,'MASTER DATA'!C5:D19,2,0)),"")</f>
        <v/>
      </c>
      <c r="F433" s="136" t="n"/>
      <c r="G433" s="136" t="n"/>
      <c r="H433" s="134" t="n"/>
      <c r="I433" s="159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9.5" customHeight="1" s="122">
      <c r="A434" s="121" t="n"/>
      <c r="B434" s="133" t="n">
        <v>431</v>
      </c>
      <c r="C434" s="157" t="n"/>
      <c r="D434" s="134" t="n"/>
      <c r="E434" s="158">
        <f>IFERROR(IF(D434="","",VLOOKUP(D434,'MASTER DATA'!C5:D19,2,0)),"")</f>
        <v/>
      </c>
      <c r="F434" s="136" t="n"/>
      <c r="G434" s="136" t="n"/>
      <c r="H434" s="134" t="n"/>
      <c r="I434" s="159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9.5" customHeight="1" s="122">
      <c r="A435" s="121" t="n"/>
      <c r="B435" s="143" t="n">
        <v>432</v>
      </c>
      <c r="C435" s="157" t="n"/>
      <c r="D435" s="134" t="n"/>
      <c r="E435" s="160">
        <f>IFERROR(IF(D435="","",VLOOKUP(D435,'MASTER DATA'!C5:D19,2,0)),"")</f>
        <v/>
      </c>
      <c r="F435" s="136" t="n"/>
      <c r="G435" s="136" t="n"/>
      <c r="H435" s="134" t="n"/>
      <c r="I435" s="159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9.5" customHeight="1" s="122">
      <c r="A436" s="121" t="n"/>
      <c r="B436" s="133" t="n">
        <v>433</v>
      </c>
      <c r="C436" s="157" t="n"/>
      <c r="D436" s="134" t="n"/>
      <c r="E436" s="158">
        <f>IFERROR(IF(D436="","",VLOOKUP(D436,'MASTER DATA'!C5:D19,2,0)),"")</f>
        <v/>
      </c>
      <c r="F436" s="136" t="n"/>
      <c r="G436" s="136" t="n"/>
      <c r="H436" s="134" t="n"/>
      <c r="I436" s="159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9.5" customHeight="1" s="122">
      <c r="A437" s="121" t="n"/>
      <c r="B437" s="143" t="n">
        <v>434</v>
      </c>
      <c r="C437" s="157" t="n"/>
      <c r="D437" s="134" t="n"/>
      <c r="E437" s="160">
        <f>IFERROR(IF(D437="","",VLOOKUP(D437,'MASTER DATA'!C5:D19,2,0)),"")</f>
        <v/>
      </c>
      <c r="F437" s="136" t="n"/>
      <c r="G437" s="136" t="n"/>
      <c r="H437" s="134" t="n"/>
      <c r="I437" s="159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9.5" customHeight="1" s="122">
      <c r="A438" s="121" t="n"/>
      <c r="B438" s="133" t="n">
        <v>435</v>
      </c>
      <c r="C438" s="157" t="n"/>
      <c r="D438" s="134" t="n"/>
      <c r="E438" s="158">
        <f>IFERROR(IF(D438="","",VLOOKUP(D438,'MASTER DATA'!C5:D19,2,0)),"")</f>
        <v/>
      </c>
      <c r="F438" s="136" t="n"/>
      <c r="G438" s="136" t="n"/>
      <c r="H438" s="134" t="n"/>
      <c r="I438" s="159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9.5" customHeight="1" s="122">
      <c r="A439" s="121" t="n"/>
      <c r="B439" s="143" t="n">
        <v>436</v>
      </c>
      <c r="C439" s="157" t="n"/>
      <c r="D439" s="134" t="n"/>
      <c r="E439" s="160">
        <f>IFERROR(IF(D439="","",VLOOKUP(D439,'MASTER DATA'!C5:D19,2,0)),"")</f>
        <v/>
      </c>
      <c r="F439" s="136" t="n"/>
      <c r="G439" s="136" t="n"/>
      <c r="H439" s="134" t="n"/>
      <c r="I439" s="159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9.5" customHeight="1" s="122">
      <c r="A440" s="121" t="n"/>
      <c r="B440" s="133" t="n">
        <v>437</v>
      </c>
      <c r="C440" s="157" t="n"/>
      <c r="D440" s="134" t="n"/>
      <c r="E440" s="158">
        <f>IFERROR(IF(D440="","",VLOOKUP(D440,'MASTER DATA'!C5:D19,2,0)),"")</f>
        <v/>
      </c>
      <c r="F440" s="136" t="n"/>
      <c r="G440" s="136" t="n"/>
      <c r="H440" s="134" t="n"/>
      <c r="I440" s="159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9.5" customHeight="1" s="122">
      <c r="A441" s="121" t="n"/>
      <c r="B441" s="143" t="n">
        <v>438</v>
      </c>
      <c r="C441" s="157" t="n"/>
      <c r="D441" s="134" t="n"/>
      <c r="E441" s="160">
        <f>IFERROR(IF(D441="","",VLOOKUP(D441,'MASTER DATA'!C5:D19,2,0)),"")</f>
        <v/>
      </c>
      <c r="F441" s="136" t="n"/>
      <c r="G441" s="136" t="n"/>
      <c r="H441" s="134" t="n"/>
      <c r="I441" s="159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9.5" customHeight="1" s="122">
      <c r="A442" s="121" t="n"/>
      <c r="B442" s="133" t="n">
        <v>439</v>
      </c>
      <c r="C442" s="157" t="n"/>
      <c r="D442" s="134" t="n"/>
      <c r="E442" s="158">
        <f>IFERROR(IF(D442="","",VLOOKUP(D442,'MASTER DATA'!C5:D19,2,0)),"")</f>
        <v/>
      </c>
      <c r="F442" s="136" t="n"/>
      <c r="G442" s="136" t="n"/>
      <c r="H442" s="134" t="n"/>
      <c r="I442" s="159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9.5" customHeight="1" s="122">
      <c r="A443" s="121" t="n"/>
      <c r="B443" s="143" t="n">
        <v>440</v>
      </c>
      <c r="C443" s="157" t="n"/>
      <c r="D443" s="134" t="n"/>
      <c r="E443" s="160">
        <f>IFERROR(IF(D443="","",VLOOKUP(D443,'MASTER DATA'!C5:D19,2,0)),"")</f>
        <v/>
      </c>
      <c r="F443" s="136" t="n"/>
      <c r="G443" s="136" t="n"/>
      <c r="H443" s="134" t="n"/>
      <c r="I443" s="159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9.5" customHeight="1" s="122">
      <c r="A444" s="121" t="n"/>
      <c r="B444" s="133" t="n">
        <v>441</v>
      </c>
      <c r="C444" s="157" t="n"/>
      <c r="D444" s="134" t="n"/>
      <c r="E444" s="158">
        <f>IFERROR(IF(D444="","",VLOOKUP(D444,'MASTER DATA'!C5:D19,2,0)),"")</f>
        <v/>
      </c>
      <c r="F444" s="136" t="n"/>
      <c r="G444" s="136" t="n"/>
      <c r="H444" s="134" t="n"/>
      <c r="I444" s="159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9.5" customHeight="1" s="122">
      <c r="A445" s="121" t="n"/>
      <c r="B445" s="143" t="n">
        <v>442</v>
      </c>
      <c r="C445" s="157" t="n"/>
      <c r="D445" s="134" t="n"/>
      <c r="E445" s="160">
        <f>IFERROR(IF(D445="","",VLOOKUP(D445,'MASTER DATA'!C5:D19,2,0)),"")</f>
        <v/>
      </c>
      <c r="F445" s="136" t="n"/>
      <c r="G445" s="136" t="n"/>
      <c r="H445" s="134" t="n"/>
      <c r="I445" s="159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9.5" customHeight="1" s="122">
      <c r="A446" s="121" t="n"/>
      <c r="B446" s="133" t="n">
        <v>443</v>
      </c>
      <c r="C446" s="157" t="n"/>
      <c r="D446" s="134" t="n"/>
      <c r="E446" s="158">
        <f>IFERROR(IF(D446="","",VLOOKUP(D446,'MASTER DATA'!C5:D19,2,0)),"")</f>
        <v/>
      </c>
      <c r="F446" s="136" t="n"/>
      <c r="G446" s="136" t="n"/>
      <c r="H446" s="134" t="n"/>
      <c r="I446" s="159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9.5" customHeight="1" s="122">
      <c r="A447" s="121" t="n"/>
      <c r="B447" s="143" t="n">
        <v>444</v>
      </c>
      <c r="C447" s="157" t="n"/>
      <c r="D447" s="134" t="n"/>
      <c r="E447" s="160">
        <f>IFERROR(IF(D447="","",VLOOKUP(D447,'MASTER DATA'!C5:D19,2,0)),"")</f>
        <v/>
      </c>
      <c r="F447" s="136" t="n"/>
      <c r="G447" s="136" t="n"/>
      <c r="H447" s="134" t="n"/>
      <c r="I447" s="159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9.5" customHeight="1" s="122">
      <c r="A448" s="121" t="n"/>
      <c r="B448" s="133" t="n">
        <v>445</v>
      </c>
      <c r="C448" s="157" t="n"/>
      <c r="D448" s="134" t="n"/>
      <c r="E448" s="158">
        <f>IFERROR(IF(D448="","",VLOOKUP(D448,'MASTER DATA'!C5:D19,2,0)),"")</f>
        <v/>
      </c>
      <c r="F448" s="136" t="n"/>
      <c r="G448" s="136" t="n"/>
      <c r="H448" s="134" t="n"/>
      <c r="I448" s="159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9.5" customHeight="1" s="122">
      <c r="A449" s="121" t="n"/>
      <c r="B449" s="143" t="n">
        <v>446</v>
      </c>
      <c r="C449" s="157" t="n"/>
      <c r="D449" s="134" t="n"/>
      <c r="E449" s="160">
        <f>IFERROR(IF(D449="","",VLOOKUP(D449,'MASTER DATA'!C5:D19,2,0)),"")</f>
        <v/>
      </c>
      <c r="F449" s="136" t="n"/>
      <c r="G449" s="136" t="n"/>
      <c r="H449" s="134" t="n"/>
      <c r="I449" s="159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9.5" customHeight="1" s="122">
      <c r="A450" s="121" t="n"/>
      <c r="B450" s="133" t="n">
        <v>447</v>
      </c>
      <c r="C450" s="157" t="n"/>
      <c r="D450" s="134" t="n"/>
      <c r="E450" s="158">
        <f>IFERROR(IF(D450="","",VLOOKUP(D450,'MASTER DATA'!C5:D19,2,0)),"")</f>
        <v/>
      </c>
      <c r="F450" s="136" t="n"/>
      <c r="G450" s="136" t="n"/>
      <c r="H450" s="134" t="n"/>
      <c r="I450" s="159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9.5" customHeight="1" s="122">
      <c r="A451" s="121" t="n"/>
      <c r="B451" s="143" t="n">
        <v>448</v>
      </c>
      <c r="C451" s="157" t="n"/>
      <c r="D451" s="134" t="n"/>
      <c r="E451" s="160">
        <f>IFERROR(IF(D451="","",VLOOKUP(D451,'MASTER DATA'!C5:D19,2,0)),"")</f>
        <v/>
      </c>
      <c r="F451" s="136" t="n"/>
      <c r="G451" s="136" t="n"/>
      <c r="H451" s="134" t="n"/>
      <c r="I451" s="159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9.5" customHeight="1" s="122">
      <c r="A452" s="121" t="n"/>
      <c r="B452" s="133" t="n">
        <v>449</v>
      </c>
      <c r="C452" s="157" t="n"/>
      <c r="D452" s="134" t="n"/>
      <c r="E452" s="158">
        <f>IFERROR(IF(D452="","",VLOOKUP(D452,'MASTER DATA'!C5:D19,2,0)),"")</f>
        <v/>
      </c>
      <c r="F452" s="136" t="n"/>
      <c r="G452" s="136" t="n"/>
      <c r="H452" s="134" t="n"/>
      <c r="I452" s="159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9.5" customHeight="1" s="122">
      <c r="A453" s="121" t="n"/>
      <c r="B453" s="143" t="n">
        <v>450</v>
      </c>
      <c r="C453" s="157" t="n"/>
      <c r="D453" s="134" t="n"/>
      <c r="E453" s="160">
        <f>IFERROR(IF(D453="","",VLOOKUP(D453,'MASTER DATA'!C5:D19,2,0)),"")</f>
        <v/>
      </c>
      <c r="F453" s="136" t="n"/>
      <c r="G453" s="136" t="n"/>
      <c r="H453" s="134" t="n"/>
      <c r="I453" s="159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9.5" customHeight="1" s="122">
      <c r="A454" s="121" t="n"/>
      <c r="B454" s="133" t="n">
        <v>451</v>
      </c>
      <c r="C454" s="157" t="n"/>
      <c r="D454" s="134" t="n"/>
      <c r="E454" s="158">
        <f>IFERROR(IF(D454="","",VLOOKUP(D454,'MASTER DATA'!C5:D19,2,0)),"")</f>
        <v/>
      </c>
      <c r="F454" s="136" t="n"/>
      <c r="G454" s="136" t="n"/>
      <c r="H454" s="134" t="n"/>
      <c r="I454" s="159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9.5" customHeight="1" s="122">
      <c r="A455" s="121" t="n"/>
      <c r="B455" s="143" t="n">
        <v>452</v>
      </c>
      <c r="C455" s="157" t="n"/>
      <c r="D455" s="134" t="n"/>
      <c r="E455" s="160">
        <f>IFERROR(IF(D455="","",VLOOKUP(D455,'MASTER DATA'!C5:D19,2,0)),"")</f>
        <v/>
      </c>
      <c r="F455" s="136" t="n"/>
      <c r="G455" s="136" t="n"/>
      <c r="H455" s="134" t="n"/>
      <c r="I455" s="159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9.5" customHeight="1" s="122">
      <c r="A456" s="121" t="n"/>
      <c r="B456" s="133" t="n">
        <v>453</v>
      </c>
      <c r="C456" s="157" t="n"/>
      <c r="D456" s="134" t="n"/>
      <c r="E456" s="158">
        <f>IFERROR(IF(D456="","",VLOOKUP(D456,'MASTER DATA'!C5:D19,2,0)),"")</f>
        <v/>
      </c>
      <c r="F456" s="136" t="n"/>
      <c r="G456" s="136" t="n"/>
      <c r="H456" s="134" t="n"/>
      <c r="I456" s="159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9.5" customHeight="1" s="122">
      <c r="A457" s="121" t="n"/>
      <c r="B457" s="143" t="n">
        <v>454</v>
      </c>
      <c r="C457" s="157" t="n"/>
      <c r="D457" s="134" t="n"/>
      <c r="E457" s="160">
        <f>IFERROR(IF(D457="","",VLOOKUP(D457,'MASTER DATA'!C5:D19,2,0)),"")</f>
        <v/>
      </c>
      <c r="F457" s="136" t="n"/>
      <c r="G457" s="136" t="n"/>
      <c r="H457" s="134" t="n"/>
      <c r="I457" s="159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9.5" customHeight="1" s="122">
      <c r="A458" s="121" t="n"/>
      <c r="B458" s="133" t="n">
        <v>455</v>
      </c>
      <c r="C458" s="157" t="n"/>
      <c r="D458" s="134" t="n"/>
      <c r="E458" s="158">
        <f>IFERROR(IF(D458="","",VLOOKUP(D458,'MASTER DATA'!C5:D19,2,0)),"")</f>
        <v/>
      </c>
      <c r="F458" s="136" t="n"/>
      <c r="G458" s="136" t="n"/>
      <c r="H458" s="134" t="n"/>
      <c r="I458" s="159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9.5" customHeight="1" s="122">
      <c r="A459" s="121" t="n"/>
      <c r="B459" s="143" t="n">
        <v>456</v>
      </c>
      <c r="C459" s="157" t="n"/>
      <c r="D459" s="134" t="n"/>
      <c r="E459" s="160">
        <f>IFERROR(IF(D459="","",VLOOKUP(D459,'MASTER DATA'!C5:D19,2,0)),"")</f>
        <v/>
      </c>
      <c r="F459" s="136" t="n"/>
      <c r="G459" s="136" t="n"/>
      <c r="H459" s="134" t="n"/>
      <c r="I459" s="159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9.5" customHeight="1" s="122">
      <c r="A460" s="121" t="n"/>
      <c r="B460" s="133" t="n">
        <v>457</v>
      </c>
      <c r="C460" s="157" t="n"/>
      <c r="D460" s="134" t="n"/>
      <c r="E460" s="158">
        <f>IFERROR(IF(D460="","",VLOOKUP(D460,'MASTER DATA'!C5:D19,2,0)),"")</f>
        <v/>
      </c>
      <c r="F460" s="136" t="n"/>
      <c r="G460" s="136" t="n"/>
      <c r="H460" s="134" t="n"/>
      <c r="I460" s="159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9.5" customHeight="1" s="122">
      <c r="A461" s="121" t="n"/>
      <c r="B461" s="143" t="n">
        <v>458</v>
      </c>
      <c r="C461" s="157" t="n"/>
      <c r="D461" s="134" t="n"/>
      <c r="E461" s="160">
        <f>IFERROR(IF(D461="","",VLOOKUP(D461,'MASTER DATA'!C5:D19,2,0)),"")</f>
        <v/>
      </c>
      <c r="F461" s="136" t="n"/>
      <c r="G461" s="136" t="n"/>
      <c r="H461" s="134" t="n"/>
      <c r="I461" s="159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9.5" customHeight="1" s="122">
      <c r="A462" s="121" t="n"/>
      <c r="B462" s="133" t="n">
        <v>459</v>
      </c>
      <c r="C462" s="157" t="n"/>
      <c r="D462" s="134" t="n"/>
      <c r="E462" s="158">
        <f>IFERROR(IF(D462="","",VLOOKUP(D462,'MASTER DATA'!C5:D19,2,0)),"")</f>
        <v/>
      </c>
      <c r="F462" s="136" t="n"/>
      <c r="G462" s="136" t="n"/>
      <c r="H462" s="134" t="n"/>
      <c r="I462" s="159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9.5" customHeight="1" s="122">
      <c r="A463" s="121" t="n"/>
      <c r="B463" s="143" t="n">
        <v>460</v>
      </c>
      <c r="C463" s="157" t="n"/>
      <c r="D463" s="134" t="n"/>
      <c r="E463" s="160">
        <f>IFERROR(IF(D463="","",VLOOKUP(D463,'MASTER DATA'!C5:D19,2,0)),"")</f>
        <v/>
      </c>
      <c r="F463" s="136" t="n"/>
      <c r="G463" s="136" t="n"/>
      <c r="H463" s="134" t="n"/>
      <c r="I463" s="159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9.5" customHeight="1" s="122">
      <c r="A464" s="121" t="n"/>
      <c r="B464" s="133" t="n">
        <v>461</v>
      </c>
      <c r="C464" s="157" t="n"/>
      <c r="D464" s="134" t="n"/>
      <c r="E464" s="158">
        <f>IFERROR(IF(D464="","",VLOOKUP(D464,'MASTER DATA'!C5:D19,2,0)),"")</f>
        <v/>
      </c>
      <c r="F464" s="136" t="n"/>
      <c r="G464" s="136" t="n"/>
      <c r="H464" s="134" t="n"/>
      <c r="I464" s="159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9.5" customHeight="1" s="122">
      <c r="A465" s="121" t="n"/>
      <c r="B465" s="143" t="n">
        <v>462</v>
      </c>
      <c r="C465" s="157" t="n"/>
      <c r="D465" s="134" t="n"/>
      <c r="E465" s="160">
        <f>IFERROR(IF(D465="","",VLOOKUP(D465,'MASTER DATA'!C5:D19,2,0)),"")</f>
        <v/>
      </c>
      <c r="F465" s="136" t="n"/>
      <c r="G465" s="136" t="n"/>
      <c r="H465" s="134" t="n"/>
      <c r="I465" s="159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9.5" customHeight="1" s="122">
      <c r="A466" s="121" t="n"/>
      <c r="B466" s="133" t="n">
        <v>463</v>
      </c>
      <c r="C466" s="157" t="n"/>
      <c r="D466" s="134" t="n"/>
      <c r="E466" s="158">
        <f>IFERROR(IF(D466="","",VLOOKUP(D466,'MASTER DATA'!C5:D19,2,0)),"")</f>
        <v/>
      </c>
      <c r="F466" s="136" t="n"/>
      <c r="G466" s="136" t="n"/>
      <c r="H466" s="134" t="n"/>
      <c r="I466" s="159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9.5" customHeight="1" s="122">
      <c r="A467" s="121" t="n"/>
      <c r="B467" s="143" t="n">
        <v>464</v>
      </c>
      <c r="C467" s="157" t="n"/>
      <c r="D467" s="134" t="n"/>
      <c r="E467" s="160">
        <f>IFERROR(IF(D467="","",VLOOKUP(D467,'MASTER DATA'!C5:D19,2,0)),"")</f>
        <v/>
      </c>
      <c r="F467" s="136" t="n"/>
      <c r="G467" s="136" t="n"/>
      <c r="H467" s="134" t="n"/>
      <c r="I467" s="159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9.5" customHeight="1" s="122">
      <c r="A468" s="121" t="n"/>
      <c r="B468" s="133" t="n">
        <v>465</v>
      </c>
      <c r="C468" s="157" t="n"/>
      <c r="D468" s="134" t="n"/>
      <c r="E468" s="158">
        <f>IFERROR(IF(D468="","",VLOOKUP(D468,'MASTER DATA'!C5:D19,2,0)),"")</f>
        <v/>
      </c>
      <c r="F468" s="136" t="n"/>
      <c r="G468" s="136" t="n"/>
      <c r="H468" s="134" t="n"/>
      <c r="I468" s="159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9.5" customHeight="1" s="122">
      <c r="A469" s="121" t="n"/>
      <c r="B469" s="143" t="n">
        <v>466</v>
      </c>
      <c r="C469" s="157" t="n"/>
      <c r="D469" s="134" t="n"/>
      <c r="E469" s="160">
        <f>IFERROR(IF(D469="","",VLOOKUP(D469,'MASTER DATA'!C5:D19,2,0)),"")</f>
        <v/>
      </c>
      <c r="F469" s="136" t="n"/>
      <c r="G469" s="136" t="n"/>
      <c r="H469" s="134" t="n"/>
      <c r="I469" s="159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9.5" customHeight="1" s="122">
      <c r="A470" s="121" t="n"/>
      <c r="B470" s="133" t="n">
        <v>467</v>
      </c>
      <c r="C470" s="157" t="n"/>
      <c r="D470" s="134" t="n"/>
      <c r="E470" s="158">
        <f>IFERROR(IF(D470="","",VLOOKUP(D470,'MASTER DATA'!C5:D19,2,0)),"")</f>
        <v/>
      </c>
      <c r="F470" s="136" t="n"/>
      <c r="G470" s="136" t="n"/>
      <c r="H470" s="134" t="n"/>
      <c r="I470" s="159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9.5" customHeight="1" s="122">
      <c r="A471" s="121" t="n"/>
      <c r="B471" s="143" t="n">
        <v>468</v>
      </c>
      <c r="C471" s="157" t="n"/>
      <c r="D471" s="134" t="n"/>
      <c r="E471" s="160">
        <f>IFERROR(IF(D471="","",VLOOKUP(D471,'MASTER DATA'!C5:D19,2,0)),"")</f>
        <v/>
      </c>
      <c r="F471" s="136" t="n"/>
      <c r="G471" s="136" t="n"/>
      <c r="H471" s="134" t="n"/>
      <c r="I471" s="159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9.5" customHeight="1" s="122">
      <c r="A472" s="121" t="n"/>
      <c r="B472" s="133" t="n">
        <v>469</v>
      </c>
      <c r="C472" s="157" t="n"/>
      <c r="D472" s="134" t="n"/>
      <c r="E472" s="158">
        <f>IFERROR(IF(D472="","",VLOOKUP(D472,'MASTER DATA'!C5:D19,2,0)),"")</f>
        <v/>
      </c>
      <c r="F472" s="136" t="n"/>
      <c r="G472" s="136" t="n"/>
      <c r="H472" s="134" t="n"/>
      <c r="I472" s="159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9.5" customHeight="1" s="122">
      <c r="A473" s="121" t="n"/>
      <c r="B473" s="143" t="n">
        <v>470</v>
      </c>
      <c r="C473" s="157" t="n"/>
      <c r="D473" s="134" t="n"/>
      <c r="E473" s="160">
        <f>IFERROR(IF(D473="","",VLOOKUP(D473,'MASTER DATA'!C5:D19,2,0)),"")</f>
        <v/>
      </c>
      <c r="F473" s="136" t="n"/>
      <c r="G473" s="136" t="n"/>
      <c r="H473" s="134" t="n"/>
      <c r="I473" s="159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9.5" customHeight="1" s="122">
      <c r="A474" s="121" t="n"/>
      <c r="B474" s="133" t="n">
        <v>471</v>
      </c>
      <c r="C474" s="157" t="n"/>
      <c r="D474" s="134" t="n"/>
      <c r="E474" s="158">
        <f>IFERROR(IF(D474="","",VLOOKUP(D474,'MASTER DATA'!C5:D19,2,0)),"")</f>
        <v/>
      </c>
      <c r="F474" s="136" t="n"/>
      <c r="G474" s="136" t="n"/>
      <c r="H474" s="134" t="n"/>
      <c r="I474" s="159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9.5" customHeight="1" s="122">
      <c r="A475" s="121" t="n"/>
      <c r="B475" s="143" t="n">
        <v>472</v>
      </c>
      <c r="C475" s="157" t="n"/>
      <c r="D475" s="134" t="n"/>
      <c r="E475" s="160">
        <f>IFERROR(IF(D475="","",VLOOKUP(D475,'MASTER DATA'!C5:D19,2,0)),"")</f>
        <v/>
      </c>
      <c r="F475" s="136" t="n"/>
      <c r="G475" s="136" t="n"/>
      <c r="H475" s="134" t="n"/>
      <c r="I475" s="159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9.5" customHeight="1" s="122">
      <c r="A476" s="121" t="n"/>
      <c r="B476" s="133" t="n">
        <v>473</v>
      </c>
      <c r="C476" s="157" t="n"/>
      <c r="D476" s="134" t="n"/>
      <c r="E476" s="158">
        <f>IFERROR(IF(D476="","",VLOOKUP(D476,'MASTER DATA'!C5:D19,2,0)),"")</f>
        <v/>
      </c>
      <c r="F476" s="136" t="n"/>
      <c r="G476" s="136" t="n"/>
      <c r="H476" s="134" t="n"/>
      <c r="I476" s="159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9.5" customHeight="1" s="122">
      <c r="A477" s="121" t="n"/>
      <c r="B477" s="143" t="n">
        <v>474</v>
      </c>
      <c r="C477" s="157" t="n"/>
      <c r="D477" s="134" t="n"/>
      <c r="E477" s="160">
        <f>IFERROR(IF(D477="","",VLOOKUP(D477,'MASTER DATA'!C5:D19,2,0)),"")</f>
        <v/>
      </c>
      <c r="F477" s="136" t="n"/>
      <c r="G477" s="136" t="n"/>
      <c r="H477" s="134" t="n"/>
      <c r="I477" s="159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9.5" customHeight="1" s="122">
      <c r="A478" s="121" t="n"/>
      <c r="B478" s="133" t="n">
        <v>475</v>
      </c>
      <c r="C478" s="157" t="n"/>
      <c r="D478" s="134" t="n"/>
      <c r="E478" s="158">
        <f>IFERROR(IF(D478="","",VLOOKUP(D478,'MASTER DATA'!C5:D19,2,0)),"")</f>
        <v/>
      </c>
      <c r="F478" s="136" t="n"/>
      <c r="G478" s="136" t="n"/>
      <c r="H478" s="134" t="n"/>
      <c r="I478" s="159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9.5" customHeight="1" s="122">
      <c r="A479" s="121" t="n"/>
      <c r="B479" s="143" t="n">
        <v>476</v>
      </c>
      <c r="C479" s="157" t="n"/>
      <c r="D479" s="134" t="n"/>
      <c r="E479" s="160">
        <f>IFERROR(IF(D479="","",VLOOKUP(D479,'MASTER DATA'!C5:D19,2,0)),"")</f>
        <v/>
      </c>
      <c r="F479" s="136" t="n"/>
      <c r="G479" s="136" t="n"/>
      <c r="H479" s="134" t="n"/>
      <c r="I479" s="159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9.5" customHeight="1" s="122">
      <c r="A480" s="121" t="n"/>
      <c r="B480" s="133" t="n">
        <v>477</v>
      </c>
      <c r="C480" s="157" t="n"/>
      <c r="D480" s="134" t="n"/>
      <c r="E480" s="158">
        <f>IFERROR(IF(D480="","",VLOOKUP(D480,'MASTER DATA'!C5:D19,2,0)),"")</f>
        <v/>
      </c>
      <c r="F480" s="136" t="n"/>
      <c r="G480" s="136" t="n"/>
      <c r="H480" s="134" t="n"/>
      <c r="I480" s="159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9.5" customHeight="1" s="122">
      <c r="A481" s="121" t="n"/>
      <c r="B481" s="143" t="n">
        <v>478</v>
      </c>
      <c r="C481" s="157" t="n"/>
      <c r="D481" s="134" t="n"/>
      <c r="E481" s="160">
        <f>IFERROR(IF(D481="","",VLOOKUP(D481,'MASTER DATA'!C5:D19,2,0)),"")</f>
        <v/>
      </c>
      <c r="F481" s="136" t="n"/>
      <c r="G481" s="136" t="n"/>
      <c r="H481" s="134" t="n"/>
      <c r="I481" s="159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9.5" customHeight="1" s="122">
      <c r="A482" s="121" t="n"/>
      <c r="B482" s="133" t="n">
        <v>479</v>
      </c>
      <c r="C482" s="157" t="n"/>
      <c r="D482" s="134" t="n"/>
      <c r="E482" s="158">
        <f>IFERROR(IF(D482="","",VLOOKUP(D482,'MASTER DATA'!C5:D19,2,0)),"")</f>
        <v/>
      </c>
      <c r="F482" s="136" t="n"/>
      <c r="G482" s="136" t="n"/>
      <c r="H482" s="134" t="n"/>
      <c r="I482" s="159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9.5" customHeight="1" s="122">
      <c r="A483" s="121" t="n"/>
      <c r="B483" s="143" t="n">
        <v>480</v>
      </c>
      <c r="C483" s="157" t="n"/>
      <c r="D483" s="134" t="n"/>
      <c r="E483" s="160">
        <f>IFERROR(IF(D483="","",VLOOKUP(D483,'MASTER DATA'!C5:D19,2,0)),"")</f>
        <v/>
      </c>
      <c r="F483" s="136" t="n"/>
      <c r="G483" s="136" t="n"/>
      <c r="H483" s="134" t="n"/>
      <c r="I483" s="159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9.5" customHeight="1" s="122">
      <c r="A484" s="121" t="n"/>
      <c r="B484" s="133" t="n">
        <v>481</v>
      </c>
      <c r="C484" s="157" t="n"/>
      <c r="D484" s="134" t="n"/>
      <c r="E484" s="158">
        <f>IFERROR(IF(D484="","",VLOOKUP(D484,'MASTER DATA'!C5:D19,2,0)),"")</f>
        <v/>
      </c>
      <c r="F484" s="136" t="n"/>
      <c r="G484" s="136" t="n"/>
      <c r="H484" s="134" t="n"/>
      <c r="I484" s="159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9.5" customHeight="1" s="122">
      <c r="A485" s="121" t="n"/>
      <c r="B485" s="143" t="n">
        <v>482</v>
      </c>
      <c r="C485" s="157" t="n"/>
      <c r="D485" s="134" t="n"/>
      <c r="E485" s="160">
        <f>IFERROR(IF(D485="","",VLOOKUP(D485,'MASTER DATA'!C5:D19,2,0)),"")</f>
        <v/>
      </c>
      <c r="F485" s="136" t="n"/>
      <c r="G485" s="136" t="n"/>
      <c r="H485" s="134" t="n"/>
      <c r="I485" s="159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9.5" customHeight="1" s="122">
      <c r="A486" s="121" t="n"/>
      <c r="B486" s="133" t="n">
        <v>483</v>
      </c>
      <c r="C486" s="157" t="n"/>
      <c r="D486" s="134" t="n"/>
      <c r="E486" s="158">
        <f>IFERROR(IF(D486="","",VLOOKUP(D486,'MASTER DATA'!C5:D19,2,0)),"")</f>
        <v/>
      </c>
      <c r="F486" s="136" t="n"/>
      <c r="G486" s="136" t="n"/>
      <c r="H486" s="134" t="n"/>
      <c r="I486" s="159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9.5" customHeight="1" s="122">
      <c r="A487" s="121" t="n"/>
      <c r="B487" s="143" t="n">
        <v>484</v>
      </c>
      <c r="C487" s="157" t="n"/>
      <c r="D487" s="134" t="n"/>
      <c r="E487" s="160">
        <f>IFERROR(IF(D487="","",VLOOKUP(D487,'MASTER DATA'!C5:D19,2,0)),"")</f>
        <v/>
      </c>
      <c r="F487" s="136" t="n"/>
      <c r="G487" s="136" t="n"/>
      <c r="H487" s="134" t="n"/>
      <c r="I487" s="159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9.5" customHeight="1" s="122">
      <c r="A488" s="121" t="n"/>
      <c r="B488" s="133" t="n">
        <v>485</v>
      </c>
      <c r="C488" s="157" t="n"/>
      <c r="D488" s="134" t="n"/>
      <c r="E488" s="158">
        <f>IFERROR(IF(D488="","",VLOOKUP(D488,'MASTER DATA'!C5:D19,2,0)),"")</f>
        <v/>
      </c>
      <c r="F488" s="136" t="n"/>
      <c r="G488" s="136" t="n"/>
      <c r="H488" s="134" t="n"/>
      <c r="I488" s="159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9.5" customHeight="1" s="122">
      <c r="A489" s="121" t="n"/>
      <c r="B489" s="143" t="n">
        <v>486</v>
      </c>
      <c r="C489" s="157" t="n"/>
      <c r="D489" s="134" t="n"/>
      <c r="E489" s="160">
        <f>IFERROR(IF(D489="","",VLOOKUP(D489,'MASTER DATA'!C5:D19,2,0)),"")</f>
        <v/>
      </c>
      <c r="F489" s="136" t="n"/>
      <c r="G489" s="136" t="n"/>
      <c r="H489" s="134" t="n"/>
      <c r="I489" s="159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9.5" customHeight="1" s="122">
      <c r="A490" s="121" t="n"/>
      <c r="B490" s="133" t="n">
        <v>487</v>
      </c>
      <c r="C490" s="157" t="n"/>
      <c r="D490" s="134" t="n"/>
      <c r="E490" s="158">
        <f>IFERROR(IF(D490="","",VLOOKUP(D490,'MASTER DATA'!C5:D19,2,0)),"")</f>
        <v/>
      </c>
      <c r="F490" s="136" t="n"/>
      <c r="G490" s="136" t="n"/>
      <c r="H490" s="134" t="n"/>
      <c r="I490" s="159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9.5" customHeight="1" s="122">
      <c r="A491" s="121" t="n"/>
      <c r="B491" s="143" t="n">
        <v>488</v>
      </c>
      <c r="C491" s="157" t="n"/>
      <c r="D491" s="134" t="n"/>
      <c r="E491" s="160">
        <f>IFERROR(IF(D491="","",VLOOKUP(D491,'MASTER DATA'!C5:D19,2,0)),"")</f>
        <v/>
      </c>
      <c r="F491" s="136" t="n"/>
      <c r="G491" s="136" t="n"/>
      <c r="H491" s="134" t="n"/>
      <c r="I491" s="159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9.5" customHeight="1" s="122">
      <c r="A492" s="121" t="n"/>
      <c r="B492" s="133" t="n">
        <v>489</v>
      </c>
      <c r="C492" s="157" t="n"/>
      <c r="D492" s="134" t="n"/>
      <c r="E492" s="158">
        <f>IFERROR(IF(D492="","",VLOOKUP(D492,'MASTER DATA'!C5:D19,2,0)),"")</f>
        <v/>
      </c>
      <c r="F492" s="136" t="n"/>
      <c r="G492" s="136" t="n"/>
      <c r="H492" s="134" t="n"/>
      <c r="I492" s="159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9.5" customHeight="1" s="122">
      <c r="A493" s="121" t="n"/>
      <c r="B493" s="143" t="n">
        <v>490</v>
      </c>
      <c r="C493" s="157" t="n"/>
      <c r="D493" s="134" t="n"/>
      <c r="E493" s="160">
        <f>IFERROR(IF(D493="","",VLOOKUP(D493,'MASTER DATA'!C5:D19,2,0)),"")</f>
        <v/>
      </c>
      <c r="F493" s="136" t="n"/>
      <c r="G493" s="136" t="n"/>
      <c r="H493" s="134" t="n"/>
      <c r="I493" s="159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9.5" customHeight="1" s="122">
      <c r="A494" s="121" t="n"/>
      <c r="B494" s="133" t="n">
        <v>491</v>
      </c>
      <c r="C494" s="157" t="n"/>
      <c r="D494" s="134" t="n"/>
      <c r="E494" s="158">
        <f>IFERROR(IF(D494="","",VLOOKUP(D494,'MASTER DATA'!C5:D19,2,0)),"")</f>
        <v/>
      </c>
      <c r="F494" s="136" t="n"/>
      <c r="G494" s="136" t="n"/>
      <c r="H494" s="134" t="n"/>
      <c r="I494" s="159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9.5" customHeight="1" s="122">
      <c r="A495" s="121" t="n"/>
      <c r="B495" s="143" t="n">
        <v>492</v>
      </c>
      <c r="C495" s="157" t="n"/>
      <c r="D495" s="134" t="n"/>
      <c r="E495" s="160">
        <f>IFERROR(IF(D495="","",VLOOKUP(D495,'MASTER DATA'!C5:D19,2,0)),"")</f>
        <v/>
      </c>
      <c r="F495" s="136" t="n"/>
      <c r="G495" s="136" t="n"/>
      <c r="H495" s="134" t="n"/>
      <c r="I495" s="159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9.5" customHeight="1" s="122">
      <c r="A496" s="121" t="n"/>
      <c r="B496" s="133" t="n">
        <v>493</v>
      </c>
      <c r="C496" s="157" t="n"/>
      <c r="D496" s="134" t="n"/>
      <c r="E496" s="158">
        <f>IFERROR(IF(D496="","",VLOOKUP(D496,'MASTER DATA'!C5:D19,2,0)),"")</f>
        <v/>
      </c>
      <c r="F496" s="136" t="n"/>
      <c r="G496" s="136" t="n"/>
      <c r="H496" s="134" t="n"/>
      <c r="I496" s="159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9.5" customHeight="1" s="122">
      <c r="A497" s="121" t="n"/>
      <c r="B497" s="143" t="n">
        <v>494</v>
      </c>
      <c r="C497" s="157" t="n"/>
      <c r="D497" s="134" t="n"/>
      <c r="E497" s="160">
        <f>IFERROR(IF(D497="","",VLOOKUP(D497,'MASTER DATA'!C5:D19,2,0)),"")</f>
        <v/>
      </c>
      <c r="F497" s="136" t="n"/>
      <c r="G497" s="136" t="n"/>
      <c r="H497" s="134" t="n"/>
      <c r="I497" s="159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9.5" customHeight="1" s="122">
      <c r="A498" s="121" t="n"/>
      <c r="B498" s="133" t="n">
        <v>495</v>
      </c>
      <c r="C498" s="157" t="n"/>
      <c r="D498" s="134" t="n"/>
      <c r="E498" s="158">
        <f>IFERROR(IF(D498="","",VLOOKUP(D498,'MASTER DATA'!C5:D19,2,0)),"")</f>
        <v/>
      </c>
      <c r="F498" s="136" t="n"/>
      <c r="G498" s="136" t="n"/>
      <c r="H498" s="134" t="n"/>
      <c r="I498" s="159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9.5" customHeight="1" s="122">
      <c r="A499" s="121" t="n"/>
      <c r="B499" s="143" t="n">
        <v>496</v>
      </c>
      <c r="C499" s="157" t="n"/>
      <c r="D499" s="134" t="n"/>
      <c r="E499" s="160">
        <f>IFERROR(IF(D499="","",VLOOKUP(D499,'MASTER DATA'!C5:D19,2,0)),"")</f>
        <v/>
      </c>
      <c r="F499" s="136" t="n"/>
      <c r="G499" s="136" t="n"/>
      <c r="H499" s="134" t="n"/>
      <c r="I499" s="159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9.5" customHeight="1" s="122">
      <c r="A500" s="121" t="n"/>
      <c r="B500" s="133" t="n">
        <v>497</v>
      </c>
      <c r="C500" s="157" t="n"/>
      <c r="D500" s="134" t="n"/>
      <c r="E500" s="158">
        <f>IFERROR(IF(D500="","",VLOOKUP(D500,'MASTER DATA'!C5:D19,2,0)),"")</f>
        <v/>
      </c>
      <c r="F500" s="136" t="n"/>
      <c r="G500" s="136" t="n"/>
      <c r="H500" s="134" t="n"/>
      <c r="I500" s="159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9.5" customHeight="1" s="122">
      <c r="A501" s="121" t="n"/>
      <c r="B501" s="143" t="n">
        <v>498</v>
      </c>
      <c r="C501" s="157" t="n"/>
      <c r="D501" s="134" t="n"/>
      <c r="E501" s="160">
        <f>IFERROR(IF(D501="","",VLOOKUP(D501,'MASTER DATA'!C5:D19,2,0)),"")</f>
        <v/>
      </c>
      <c r="F501" s="136" t="n"/>
      <c r="G501" s="136" t="n"/>
      <c r="H501" s="134" t="n"/>
      <c r="I501" s="159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9.5" customHeight="1" s="122">
      <c r="A502" s="121" t="n"/>
      <c r="B502" s="133" t="n">
        <v>499</v>
      </c>
      <c r="C502" s="157" t="n"/>
      <c r="D502" s="134" t="n"/>
      <c r="E502" s="158">
        <f>IFERROR(IF(D502="","",VLOOKUP(D502,'MASTER DATA'!C5:D19,2,0)),"")</f>
        <v/>
      </c>
      <c r="F502" s="136" t="n"/>
      <c r="G502" s="136" t="n"/>
      <c r="H502" s="134" t="n"/>
      <c r="I502" s="159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9.5" customHeight="1" s="122">
      <c r="A503" s="121" t="n"/>
      <c r="B503" s="143" t="n">
        <v>500</v>
      </c>
      <c r="C503" s="157" t="n"/>
      <c r="D503" s="134" t="n"/>
      <c r="E503" s="160">
        <f>IFERROR(IF(D503="","",VLOOKUP(D503,'MASTER DATA'!C5:D19,2,0)),"")</f>
        <v/>
      </c>
      <c r="F503" s="136" t="n"/>
      <c r="G503" s="136" t="n"/>
      <c r="H503" s="134" t="n"/>
      <c r="I503" s="159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 s="122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 s="122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 s="122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 s="122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 s="122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 s="122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 s="122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 s="122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 s="122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 s="122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 s="122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 s="122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 s="122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 s="122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 s="122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 s="122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 s="122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 s="122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 s="122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 s="122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 s="122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 s="122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 s="122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 s="122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 s="122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 s="122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 s="122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 s="122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 s="122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 s="122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 s="122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 s="122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 s="122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 s="122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 s="122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 s="122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 s="122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 s="122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 s="122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 s="122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 s="122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 s="122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 s="122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 s="122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 s="122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 s="122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 s="122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 s="122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 s="122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 s="122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 s="122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 s="122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 s="122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 s="122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 s="122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 s="122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 s="122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 s="122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 s="122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 s="122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 s="122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 s="122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 s="122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 s="122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 s="122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 s="122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 s="122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 s="122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 s="122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 s="122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 s="122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 s="122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 s="122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 s="122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 s="122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 s="122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 s="122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 s="122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 s="122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 s="122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 s="122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 s="122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 s="122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 s="122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 s="122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 s="122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 s="122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 s="122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 s="122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 s="122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 s="122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 s="122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 s="122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 s="122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 s="122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 s="122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 s="122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 s="122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 s="122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 s="122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 s="122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 s="122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 s="122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 s="122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 s="122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 s="122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 s="122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 s="122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 s="122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 s="122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 s="122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 s="122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 s="122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 s="122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 s="122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 s="122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 s="122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 s="122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 s="122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 s="122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 s="122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 s="122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 s="122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 s="122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 s="122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 s="122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 s="122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 s="122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 s="122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 s="122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 s="122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 s="122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 s="122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 s="122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 s="122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 s="122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 s="122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 s="122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 s="122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 s="122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 s="122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 s="122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 s="122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 s="122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 s="122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 s="122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 s="122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 s="122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 s="122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 s="122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 s="122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 s="122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 s="122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 s="122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 s="122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 s="122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 s="122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 s="122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 s="122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 s="122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 s="122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 s="122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 s="122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 s="122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 s="122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 s="122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 s="122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 s="122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 s="122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 s="122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 s="122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 s="122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 s="122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 s="122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 s="122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 s="122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 s="122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 s="122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 s="122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 s="122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 s="122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 s="122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 s="122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 s="122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 s="122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 s="122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 s="122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 s="122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 s="122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 s="122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 s="122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 s="122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 s="122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 s="122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 s="122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 s="122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 s="122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 s="122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 s="122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 s="122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 s="122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 s="122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 s="122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 s="122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 s="122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 s="122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 s="122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 s="122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 s="122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 s="122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 s="122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 s="122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 s="122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 s="122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 s="122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 s="122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 s="122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 s="122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 s="122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 s="122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 s="122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 s="122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 s="122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 s="122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 s="122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 s="122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 s="122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 s="122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 s="122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 s="122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 s="122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 s="122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 s="122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 s="122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 s="122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 s="122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 s="122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 s="122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 s="122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 s="122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 s="122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 s="122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 s="122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 s="122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 s="122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 s="122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 s="122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 s="122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 s="122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 s="122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 s="122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 s="122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 s="122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 s="122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 s="122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 s="122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 s="122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 s="122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 s="122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 s="122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 s="122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 s="122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 s="122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 s="122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 s="122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 s="122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 s="122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 s="122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 s="122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 s="122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 s="122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 s="122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 s="122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 s="122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 s="122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 s="122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 s="122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 s="122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 s="122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 s="122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 s="122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 s="122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 s="122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 s="122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 s="122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 s="122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 s="122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 s="122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 s="122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 s="122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 s="122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 s="122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 s="122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 s="122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 s="122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 s="122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 s="122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 s="122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 s="122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 s="122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 s="122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 s="122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 s="122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 s="122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 s="122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 s="122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 s="122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 s="122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 s="122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 s="122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 s="122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 s="122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 s="122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 s="122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 s="122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 s="122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 s="122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 s="122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 s="122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 s="122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 s="122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 s="122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 s="122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 s="122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 s="122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 s="122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 s="122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 s="122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 s="122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 s="122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 s="122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 s="122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 s="122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 s="122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 s="122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 s="122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 s="122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 s="122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 s="122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 s="122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 s="122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 s="122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 s="122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 s="122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 s="122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 s="122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 s="122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 s="122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 s="122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 s="122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 s="122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 s="122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 s="122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 s="122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 s="122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 s="122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 s="122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 s="122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 s="122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 s="122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 s="122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 s="122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 s="122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 s="122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 s="122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 s="122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 s="122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 s="122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 s="122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 s="122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 s="122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 s="122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 s="122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 s="122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 s="122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 s="122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 s="122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 s="122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 s="122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 s="122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 s="122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 s="122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 s="122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 s="122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 s="122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 s="122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 s="122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 s="122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 s="122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 s="122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 s="122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 s="122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 s="122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 s="122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 s="122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 s="122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 s="122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 s="122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 s="122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 s="122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 s="122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 s="122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 s="122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 s="122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 s="122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 s="122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 s="122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 s="122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 s="122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 s="122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 s="122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 s="122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 s="122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 s="122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 s="122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 s="122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 s="122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 s="122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 s="122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 s="122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 s="122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 s="122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 s="122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 s="122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 s="122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 s="122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 s="122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 s="122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 s="122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 s="122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 s="122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 s="122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 s="122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 s="122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 s="122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 s="122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 s="122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 s="122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 s="122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 s="122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 s="122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 s="122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 s="122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 s="122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 s="122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 s="122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 s="122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 s="122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 s="122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 s="122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 s="122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 s="122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 s="122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 s="122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 s="122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 s="122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 s="122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 s="122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 s="122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 s="122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 s="122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 s="122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 s="122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 s="122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 s="122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 s="122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 s="122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 s="122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 s="122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 s="122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 s="122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 s="122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 s="122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 s="122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 s="122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 s="122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 s="122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 s="122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 s="122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 s="122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 s="122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 s="122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 s="122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 s="122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 s="122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 s="122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 s="122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 s="122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 s="122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 s="122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 s="122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 s="122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 s="122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 s="122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 s="122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 s="122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 s="122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2">
    <mergeCell ref="B1:H1"/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BF70"/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121" min="1" max="1"/>
    <col width="5" customWidth="1" style="121" min="2" max="2"/>
    <col width="40" customWidth="1" style="121" min="3" max="3"/>
    <col width="10" customWidth="1" style="121" min="4" max="4"/>
    <col width="20" customWidth="1" style="121" min="5" max="6"/>
    <col width="13" customWidth="1" style="121" min="7" max="7"/>
    <col width="20" customWidth="1" style="121" min="8" max="9"/>
    <col width="30" customWidth="1" style="121" min="10" max="10"/>
  </cols>
  <sheetData>
    <row r="1" ht="36" customHeight="1" s="122">
      <c r="A1" s="121" t="n"/>
      <c r="B1" s="161">
        <f>"DASHBOARD BULANAN — "&amp;'MASTER DATA'!H2</f>
        <v/>
      </c>
      <c r="C1" s="124" t="n"/>
      <c r="D1" s="124" t="n"/>
      <c r="E1" s="124" t="n"/>
      <c r="F1" s="124" t="n"/>
      <c r="G1" s="124" t="n"/>
      <c r="H1" s="124" t="n"/>
      <c r="I1" s="124" t="n"/>
      <c r="J1" s="124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15.75" customHeight="1" s="122">
      <c r="A2" s="121" t="n"/>
      <c r="B2" s="162" t="inlineStr">
        <is>
          <t>Data diambil otomatis dari INPUT HARIAN. Ganti bulan di sheet MASTER DATA → dashboard langsung update.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1" t="n"/>
      <c r="L2" s="121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25.5" customHeight="1" s="122">
      <c r="A3" s="121" t="n"/>
      <c r="B3" s="163" t="inlineStr">
        <is>
          <t>📊  PENCAPAIAN DALAM SATUAN RUPIAH (Rp)</t>
        </is>
      </c>
      <c r="C3" s="124" t="n"/>
      <c r="D3" s="124" t="n"/>
      <c r="E3" s="124" t="n"/>
      <c r="F3" s="124" t="n"/>
      <c r="G3" s="124" t="n"/>
      <c r="H3" s="124" t="n"/>
      <c r="I3" s="124" t="n"/>
      <c r="J3" s="124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37.5" customHeight="1" s="122">
      <c r="A4" s="121" t="n"/>
      <c r="B4" s="131" t="inlineStr">
        <is>
          <t>No</t>
        </is>
      </c>
      <c r="C4" s="131" t="inlineStr">
        <is>
          <t>Program</t>
        </is>
      </c>
      <c r="D4" s="131" t="inlineStr">
        <is>
          <t>PIC</t>
        </is>
      </c>
      <c r="E4" s="131" t="inlineStr">
        <is>
          <t>Target Bulanan</t>
        </is>
      </c>
      <c r="F4" s="131" t="inlineStr">
        <is>
          <t>Pencapaian</t>
        </is>
      </c>
      <c r="G4" s="131" t="inlineStr">
        <is>
          <t>% Capaian</t>
        </is>
      </c>
      <c r="H4" s="131" t="inlineStr">
        <is>
          <t>Sisa Target</t>
        </is>
      </c>
      <c r="I4" s="131" t="inlineStr">
        <is>
          <t>Status</t>
        </is>
      </c>
      <c r="J4" s="131" t="inlineStr">
        <is>
          <t>Progress Bar</t>
        </is>
      </c>
      <c r="K4" s="121" t="n"/>
      <c r="L4" s="121" t="n"/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21.75" customHeight="1" s="122">
      <c r="A5" s="121" t="n"/>
      <c r="B5" s="133" t="n">
        <v>1</v>
      </c>
      <c r="C5" s="164">
        <f>'MASTER DATA'!C5</f>
        <v/>
      </c>
      <c r="D5" s="158">
        <f>'MASTER DATA'!D5</f>
        <v/>
      </c>
      <c r="E5" s="165">
        <f>IFERROR(IF('MASTER DATA'!C5="","",'MASTER DATA'!E5),"")</f>
        <v/>
      </c>
      <c r="F5" s="139">
        <f>IFERROR(IF(C5="","",SUMIF('INPUT HARIAN'!D4:D503,C5,'INPUT HARIAN'!F4:F503)),"")</f>
        <v/>
      </c>
      <c r="G5" s="166">
        <f>IFERROR(IF(E5=0,"",F5/E5),"")</f>
        <v/>
      </c>
      <c r="H5" s="139">
        <f>IFERROR(IF(E5="","",E5-F5),"")</f>
        <v/>
      </c>
      <c r="I5" s="133">
        <f>IFERROR(IF(G5="","",IF(G5&gt;=1,"✅ TERCAPAI",IF(G5&gt;=0.5,"⚠ MENUJU TARGET","❌ PERLU PERHATIAN"))),"—")</f>
        <v/>
      </c>
      <c r="J5" s="167">
        <f>IFERROR(IF(G5="","",REPT("█",MIN(ROUND(G5*20,0),20))&amp;"  "&amp;TEXT(G5,"0.0%")),"—")</f>
        <v/>
      </c>
      <c r="K5" s="121" t="n"/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21.75" customHeight="1" s="122">
      <c r="A6" s="121" t="n"/>
      <c r="B6" s="143" t="n">
        <v>2</v>
      </c>
      <c r="C6" s="168">
        <f>'MASTER DATA'!C6</f>
        <v/>
      </c>
      <c r="D6" s="160">
        <f>'MASTER DATA'!D6</f>
        <v/>
      </c>
      <c r="E6" s="169">
        <f>IFERROR(IF('MASTER DATA'!C6="","",'MASTER DATA'!E6),"")</f>
        <v/>
      </c>
      <c r="F6" s="144">
        <f>IFERROR(IF(C6="","",SUMIF('INPUT HARIAN'!D4:D503,C6,'INPUT HARIAN'!F4:F503)),"")</f>
        <v/>
      </c>
      <c r="G6" s="170">
        <f>IFERROR(IF(E6=0,"",F6/E6),"")</f>
        <v/>
      </c>
      <c r="H6" s="144">
        <f>IFERROR(IF(E6="","",E6-F6),"")</f>
        <v/>
      </c>
      <c r="I6" s="143">
        <f>IFERROR(IF(G6="","",IF(G6&gt;=1,"✅ TERCAPAI",IF(G6&gt;=0.5,"⚠ MENUJU TARGET","❌ PERLU PERHATIAN"))),"—")</f>
        <v/>
      </c>
      <c r="J6" s="171">
        <f>IFERROR(IF(G6="","",REPT("█",MIN(ROUND(G6*20,0),20))&amp;"  "&amp;TEXT(G6,"0.0%")),"—")</f>
        <v/>
      </c>
      <c r="K6" s="121" t="n"/>
      <c r="L6" s="121" t="n"/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21.75" customHeight="1" s="122">
      <c r="A7" s="121" t="n"/>
      <c r="B7" s="133" t="n">
        <v>3</v>
      </c>
      <c r="C7" s="164">
        <f>'MASTER DATA'!C7</f>
        <v/>
      </c>
      <c r="D7" s="158">
        <f>'MASTER DATA'!D7</f>
        <v/>
      </c>
      <c r="E7" s="165">
        <f>IFERROR(IF('MASTER DATA'!C7="","",'MASTER DATA'!E7),"")</f>
        <v/>
      </c>
      <c r="F7" s="139">
        <f>IFERROR(IF(C7="","",SUMIF('INPUT HARIAN'!D4:D503,C7,'INPUT HARIAN'!F4:F503)),"")</f>
        <v/>
      </c>
      <c r="G7" s="166">
        <f>IFERROR(IF(E7=0,"",F7/E7),"")</f>
        <v/>
      </c>
      <c r="H7" s="139">
        <f>IFERROR(IF(E7="","",E7-F7),"")</f>
        <v/>
      </c>
      <c r="I7" s="133">
        <f>IFERROR(IF(G7="","",IF(G7&gt;=1,"✅ TERCAPAI",IF(G7&gt;=0.5,"⚠ MENUJU TARGET","❌ PERLU PERHATIAN"))),"—")</f>
        <v/>
      </c>
      <c r="J7" s="167">
        <f>IFERROR(IF(G7="","",REPT("█",MIN(ROUND(G7*20,0),20))&amp;"  "&amp;TEXT(G7,"0.0%")),"—")</f>
        <v/>
      </c>
      <c r="K7" s="121" t="n"/>
      <c r="L7" s="121" t="n"/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21.75" customHeight="1" s="122">
      <c r="A8" s="121" t="n"/>
      <c r="B8" s="143" t="n">
        <v>4</v>
      </c>
      <c r="C8" s="168">
        <f>'MASTER DATA'!C8</f>
        <v/>
      </c>
      <c r="D8" s="160">
        <f>'MASTER DATA'!D8</f>
        <v/>
      </c>
      <c r="E8" s="169">
        <f>IFERROR(IF('MASTER DATA'!C8="","",'MASTER DATA'!E8),"")</f>
        <v/>
      </c>
      <c r="F8" s="144">
        <f>IFERROR(IF(C8="","",SUMIF('INPUT HARIAN'!D4:D503,C8,'INPUT HARIAN'!F4:F503)),"")</f>
        <v/>
      </c>
      <c r="G8" s="170">
        <f>IFERROR(IF(E8=0,"",F8/E8),"")</f>
        <v/>
      </c>
      <c r="H8" s="144">
        <f>IFERROR(IF(E8="","",E8-F8),"")</f>
        <v/>
      </c>
      <c r="I8" s="143">
        <f>IFERROR(IF(G8="","",IF(G8&gt;=1,"✅ TERCAPAI",IF(G8&gt;=0.5,"⚠ MENUJU TARGET","❌ PERLU PERHATIAN"))),"—")</f>
        <v/>
      </c>
      <c r="J8" s="171">
        <f>IFERROR(IF(G8="","",REPT("█",MIN(ROUND(G8*20,0),20))&amp;"  "&amp;TEXT(G8,"0.0%")),"—")</f>
        <v/>
      </c>
      <c r="K8" s="121" t="n"/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21.75" customHeight="1" s="122">
      <c r="A9" s="121" t="n"/>
      <c r="B9" s="133" t="n">
        <v>5</v>
      </c>
      <c r="C9" s="164">
        <f>'MASTER DATA'!C9</f>
        <v/>
      </c>
      <c r="D9" s="158">
        <f>'MASTER DATA'!D9</f>
        <v/>
      </c>
      <c r="E9" s="165">
        <f>IFERROR(IF('MASTER DATA'!C9="","",'MASTER DATA'!E9),"")</f>
        <v/>
      </c>
      <c r="F9" s="139">
        <f>IFERROR(IF(C9="","",SUMIF('INPUT HARIAN'!D4:D503,C9,'INPUT HARIAN'!F4:F503)),"")</f>
        <v/>
      </c>
      <c r="G9" s="166">
        <f>IFERROR(IF(E9=0,"",F9/E9),"")</f>
        <v/>
      </c>
      <c r="H9" s="139">
        <f>IFERROR(IF(E9="","",E9-F9),"")</f>
        <v/>
      </c>
      <c r="I9" s="133">
        <f>IFERROR(IF(G9="","",IF(G9&gt;=1,"✅ TERCAPAI",IF(G9&gt;=0.5,"⚠ MENUJU TARGET","❌ PERLU PERHATIAN"))),"—")</f>
        <v/>
      </c>
      <c r="J9" s="167">
        <f>IFERROR(IF(G9="","",REPT("█",MIN(ROUND(G9*20,0),20))&amp;"  "&amp;TEXT(G9,"0.0%")),"—")</f>
        <v/>
      </c>
      <c r="K9" s="121" t="n"/>
      <c r="L9" s="121" t="n"/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21.75" customHeight="1" s="122">
      <c r="A10" s="121" t="n"/>
      <c r="B10" s="143" t="n">
        <v>6</v>
      </c>
      <c r="C10" s="168">
        <f>'MASTER DATA'!C10</f>
        <v/>
      </c>
      <c r="D10" s="160">
        <f>'MASTER DATA'!D10</f>
        <v/>
      </c>
      <c r="E10" s="169">
        <f>IFERROR(IF('MASTER DATA'!C10="","",'MASTER DATA'!E10),"")</f>
        <v/>
      </c>
      <c r="F10" s="144">
        <f>IFERROR(IF(C10="","",SUMIF('INPUT HARIAN'!D4:D503,C10,'INPUT HARIAN'!F4:F503)),"")</f>
        <v/>
      </c>
      <c r="G10" s="170">
        <f>IFERROR(IF(E10=0,"",F10/E10),"")</f>
        <v/>
      </c>
      <c r="H10" s="144">
        <f>IFERROR(IF(E10="","",E10-F10),"")</f>
        <v/>
      </c>
      <c r="I10" s="143">
        <f>IFERROR(IF(G10="","",IF(G10&gt;=1,"✅ TERCAPAI",IF(G10&gt;=0.5,"⚠ MENUJU TARGET","❌ PERLU PERHATIAN"))),"—")</f>
        <v/>
      </c>
      <c r="J10" s="171">
        <f>IFERROR(IF(G10="","",REPT("█",MIN(ROUND(G10*20,0),20))&amp;"  "&amp;TEXT(G10,"0.0%")),"—")</f>
        <v/>
      </c>
      <c r="K10" s="121" t="n"/>
      <c r="L10" s="121" t="n"/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21.75" customHeight="1" s="122">
      <c r="A11" s="121" t="n"/>
      <c r="B11" s="133" t="n">
        <v>7</v>
      </c>
      <c r="C11" s="164">
        <f>'MASTER DATA'!C11</f>
        <v/>
      </c>
      <c r="D11" s="158">
        <f>'MASTER DATA'!D11</f>
        <v/>
      </c>
      <c r="E11" s="165">
        <f>IFERROR(IF('MASTER DATA'!C11="","",'MASTER DATA'!E11),"")</f>
        <v/>
      </c>
      <c r="F11" s="139">
        <f>IFERROR(IF(C11="","",SUMIF('INPUT HARIAN'!D4:D503,C11,'INPUT HARIAN'!F4:F503)),"")</f>
        <v/>
      </c>
      <c r="G11" s="166">
        <f>IFERROR(IF(E11=0,"",F11/E11),"")</f>
        <v/>
      </c>
      <c r="H11" s="139">
        <f>IFERROR(IF(E11="","",E11-F11),"")</f>
        <v/>
      </c>
      <c r="I11" s="133">
        <f>IFERROR(IF(G11="","",IF(G11&gt;=1,"✅ TERCAPAI",IF(G11&gt;=0.5,"⚠ MENUJU TARGET","❌ PERLU PERHATIAN"))),"—")</f>
        <v/>
      </c>
      <c r="J11" s="167">
        <f>IFERROR(IF(G11="","",REPT("█",MIN(ROUND(G11*20,0),20))&amp;"  "&amp;TEXT(G11,"0.0%")),"—")</f>
        <v/>
      </c>
      <c r="K11" s="121" t="n"/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21.75" customHeight="1" s="122">
      <c r="A12" s="121" t="n"/>
      <c r="B12" s="143" t="n">
        <v>8</v>
      </c>
      <c r="C12" s="168">
        <f>'MASTER DATA'!C12</f>
        <v/>
      </c>
      <c r="D12" s="160">
        <f>'MASTER DATA'!D12</f>
        <v/>
      </c>
      <c r="E12" s="169">
        <f>IFERROR(IF('MASTER DATA'!C12="","",'MASTER DATA'!E12),"")</f>
        <v/>
      </c>
      <c r="F12" s="144">
        <f>IFERROR(IF(C12="","",SUMIF('INPUT HARIAN'!D4:D503,C12,'INPUT HARIAN'!F4:F503)),"")</f>
        <v/>
      </c>
      <c r="G12" s="170">
        <f>IFERROR(IF(E12=0,"",F12/E12),"")</f>
        <v/>
      </c>
      <c r="H12" s="144">
        <f>IFERROR(IF(E12="","",E12-F12),"")</f>
        <v/>
      </c>
      <c r="I12" s="143">
        <f>IFERROR(IF(G12="","",IF(G12&gt;=1,"✅ TERCAPAI",IF(G12&gt;=0.5,"⚠ MENUJU TARGET","❌ PERLU PERHATIAN"))),"—")</f>
        <v/>
      </c>
      <c r="J12" s="171">
        <f>IFERROR(IF(G12="","",REPT("█",MIN(ROUND(G12*20,0),20))&amp;"  "&amp;TEXT(G12,"0.0%")),"—")</f>
        <v/>
      </c>
      <c r="K12" s="121" t="n"/>
      <c r="L12" s="121" t="n"/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21.75" customHeight="1" s="122">
      <c r="A13" s="121" t="n"/>
      <c r="B13" s="133" t="n">
        <v>9</v>
      </c>
      <c r="C13" s="164">
        <f>'MASTER DATA'!C13</f>
        <v/>
      </c>
      <c r="D13" s="158">
        <f>'MASTER DATA'!D13</f>
        <v/>
      </c>
      <c r="E13" s="165">
        <f>IFERROR(IF('MASTER DATA'!C13="","",'MASTER DATA'!E13),"")</f>
        <v/>
      </c>
      <c r="F13" s="139">
        <f>IFERROR(IF(C13="","",SUMIF('INPUT HARIAN'!D4:D503,C13,'INPUT HARIAN'!F4:F503)),"")</f>
        <v/>
      </c>
      <c r="G13" s="166">
        <f>IFERROR(IF(E13=0,"",F13/E13),"")</f>
        <v/>
      </c>
      <c r="H13" s="139">
        <f>IFERROR(IF(E13="","",E13-F13),"")</f>
        <v/>
      </c>
      <c r="I13" s="133">
        <f>IFERROR(IF(G13="","",IF(G13&gt;=1,"✅ TERCAPAI",IF(G13&gt;=0.5,"⚠ MENUJU TARGET","❌ PERLU PERHATIAN"))),"—")</f>
        <v/>
      </c>
      <c r="J13" s="167">
        <f>IFERROR(IF(G13="","",REPT("█",MIN(ROUND(G13*20,0),20))&amp;"  "&amp;TEXT(G13,"0.0%")),"—")</f>
        <v/>
      </c>
      <c r="K13" s="121" t="n"/>
      <c r="L13" s="121" t="n"/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21.75" customHeight="1" s="122">
      <c r="A14" s="121" t="n"/>
      <c r="B14" s="143" t="n">
        <v>10</v>
      </c>
      <c r="C14" s="168">
        <f>'MASTER DATA'!C14</f>
        <v/>
      </c>
      <c r="D14" s="160">
        <f>'MASTER DATA'!D14</f>
        <v/>
      </c>
      <c r="E14" s="169">
        <f>IFERROR(IF('MASTER DATA'!C14="","",'MASTER DATA'!E14),"")</f>
        <v/>
      </c>
      <c r="F14" s="144">
        <f>IFERROR(IF(C14="","",SUMIF('INPUT HARIAN'!D4:D503,C14,'INPUT HARIAN'!F4:F503)),"")</f>
        <v/>
      </c>
      <c r="G14" s="170">
        <f>IFERROR(IF(E14=0,"",F14/E14),"")</f>
        <v/>
      </c>
      <c r="H14" s="144">
        <f>IFERROR(IF(E14="","",E14-F14),"")</f>
        <v/>
      </c>
      <c r="I14" s="143">
        <f>IFERROR(IF(G14="","",IF(G14&gt;=1,"✅ TERCAPAI",IF(G14&gt;=0.5,"⚠ MENUJU TARGET","❌ PERLU PERHATIAN"))),"—")</f>
        <v/>
      </c>
      <c r="J14" s="171">
        <f>IFERROR(IF(G14="","",REPT("█",MIN(ROUND(G14*20,0),20))&amp;"  "&amp;TEXT(G14,"0.0%")),"—")</f>
        <v/>
      </c>
      <c r="K14" s="121" t="n"/>
      <c r="L14" s="121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21.75" customHeight="1" s="122">
      <c r="A15" s="121" t="n"/>
      <c r="B15" s="133" t="n">
        <v>11</v>
      </c>
      <c r="C15" s="164">
        <f>'MASTER DATA'!C15</f>
        <v/>
      </c>
      <c r="D15" s="158">
        <f>'MASTER DATA'!D15</f>
        <v/>
      </c>
      <c r="E15" s="165">
        <f>IFERROR(IF('MASTER DATA'!C15="","",'MASTER DATA'!E15),"")</f>
        <v/>
      </c>
      <c r="F15" s="139">
        <f>IFERROR(IF(C15="","",SUMIF('INPUT HARIAN'!D4:D503,C15,'INPUT HARIAN'!F4:F503)),"")</f>
        <v/>
      </c>
      <c r="G15" s="166">
        <f>IFERROR(IF(E15=0,"",F15/E15),"")</f>
        <v/>
      </c>
      <c r="H15" s="139">
        <f>IFERROR(IF(E15="","",E15-F15),"")</f>
        <v/>
      </c>
      <c r="I15" s="133">
        <f>IFERROR(IF(G15="","",IF(G15&gt;=1,"✅ TERCAPAI",IF(G15&gt;=0.5,"⚠ MENUJU TARGET","❌ PERLU PERHATIAN"))),"—")</f>
        <v/>
      </c>
      <c r="J15" s="167">
        <f>IFERROR(IF(G15="","",REPT("█",MIN(ROUND(G15*20,0),20))&amp;"  "&amp;TEXT(G15,"0.0%")),"—")</f>
        <v/>
      </c>
      <c r="K15" s="121" t="n"/>
      <c r="L15" s="121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21.75" customHeight="1" s="122">
      <c r="A16" s="121" t="n"/>
      <c r="B16" s="143" t="n">
        <v>12</v>
      </c>
      <c r="C16" s="168">
        <f>'MASTER DATA'!C16</f>
        <v/>
      </c>
      <c r="D16" s="160">
        <f>'MASTER DATA'!D16</f>
        <v/>
      </c>
      <c r="E16" s="169">
        <f>IFERROR(IF('MASTER DATA'!C16="","",'MASTER DATA'!E16),"")</f>
        <v/>
      </c>
      <c r="F16" s="144">
        <f>IFERROR(IF(C16="","",SUMIF('INPUT HARIAN'!D4:D503,C16,'INPUT HARIAN'!F4:F503)),"")</f>
        <v/>
      </c>
      <c r="G16" s="170">
        <f>IFERROR(IF(E16=0,"",F16/E16),"")</f>
        <v/>
      </c>
      <c r="H16" s="144">
        <f>IFERROR(IF(E16="","",E16-F16),"")</f>
        <v/>
      </c>
      <c r="I16" s="143">
        <f>IFERROR(IF(G16="","",IF(G16&gt;=1,"✅ TERCAPAI",IF(G16&gt;=0.5,"⚠ MENUJU TARGET","❌ PERLU PERHATIAN"))),"—")</f>
        <v/>
      </c>
      <c r="J16" s="171">
        <f>IFERROR(IF(G16="","",REPT("█",MIN(ROUND(G16*20,0),20))&amp;"  "&amp;TEXT(G16,"0.0%")),"—")</f>
        <v/>
      </c>
      <c r="K16" s="121" t="n"/>
      <c r="L16" s="121" t="n"/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21.75" customHeight="1" s="122">
      <c r="A17" s="121" t="n"/>
      <c r="B17" s="133" t="n">
        <v>13</v>
      </c>
      <c r="C17" s="164">
        <f>'MASTER DATA'!C17</f>
        <v/>
      </c>
      <c r="D17" s="158">
        <f>'MASTER DATA'!D17</f>
        <v/>
      </c>
      <c r="E17" s="165">
        <f>IFERROR(IF('MASTER DATA'!C17="","",'MASTER DATA'!E17),"")</f>
        <v/>
      </c>
      <c r="F17" s="139">
        <f>IFERROR(IF(C17="","",SUMIF('INPUT HARIAN'!D4:D503,C17,'INPUT HARIAN'!F4:F503)),"")</f>
        <v/>
      </c>
      <c r="G17" s="166">
        <f>IFERROR(IF(E17=0,"",F17/E17),"")</f>
        <v/>
      </c>
      <c r="H17" s="139">
        <f>IFERROR(IF(E17="","",E17-F17),"")</f>
        <v/>
      </c>
      <c r="I17" s="133">
        <f>IFERROR(IF(G17="","",IF(G17&gt;=1,"✅ TERCAPAI",IF(G17&gt;=0.5,"⚠ MENUJU TARGET","❌ PERLU PERHATIAN"))),"—")</f>
        <v/>
      </c>
      <c r="J17" s="167">
        <f>IFERROR(IF(G17="","",REPT("█",MIN(ROUND(G17*20,0),20))&amp;"  "&amp;TEXT(G17,"0.0%")),"—")</f>
        <v/>
      </c>
      <c r="K17" s="121" t="n"/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21.75" customHeight="1" s="122">
      <c r="A18" s="121" t="n"/>
      <c r="B18" s="143" t="n">
        <v>14</v>
      </c>
      <c r="C18" s="168">
        <f>'MASTER DATA'!C18</f>
        <v/>
      </c>
      <c r="D18" s="160">
        <f>'MASTER DATA'!D18</f>
        <v/>
      </c>
      <c r="E18" s="169">
        <f>IFERROR(IF('MASTER DATA'!C18="","",'MASTER DATA'!E18),"")</f>
        <v/>
      </c>
      <c r="F18" s="144">
        <f>IFERROR(IF(C18="","",SUMIF('INPUT HARIAN'!D4:D503,C18,'INPUT HARIAN'!F4:F503)),"")</f>
        <v/>
      </c>
      <c r="G18" s="170">
        <f>IFERROR(IF(E18=0,"",F18/E18),"")</f>
        <v/>
      </c>
      <c r="H18" s="144">
        <f>IFERROR(IF(E18="","",E18-F18),"")</f>
        <v/>
      </c>
      <c r="I18" s="143">
        <f>IFERROR(IF(G18="","",IF(G18&gt;=1,"✅ TERCAPAI",IF(G18&gt;=0.5,"⚠ MENUJU TARGET","❌ PERLU PERHATIAN"))),"—")</f>
        <v/>
      </c>
      <c r="J18" s="171">
        <f>IFERROR(IF(G18="","",REPT("█",MIN(ROUND(G18*20,0),20))&amp;"  "&amp;TEXT(G18,"0.0%")),"—")</f>
        <v/>
      </c>
      <c r="K18" s="121" t="n"/>
      <c r="L18" s="121" t="n"/>
      <c r="M18" s="121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21.75" customHeight="1" s="122">
      <c r="A19" s="121" t="n"/>
      <c r="B19" s="133" t="n">
        <v>15</v>
      </c>
      <c r="C19" s="164">
        <f>'MASTER DATA'!C19</f>
        <v/>
      </c>
      <c r="D19" s="158">
        <f>'MASTER DATA'!D19</f>
        <v/>
      </c>
      <c r="E19" s="165">
        <f>IFERROR(IF('MASTER DATA'!C19="","",'MASTER DATA'!E19),"")</f>
        <v/>
      </c>
      <c r="F19" s="139">
        <f>IFERROR(IF(C19="","",SUMIF('INPUT HARIAN'!D4:D503,C19,'INPUT HARIAN'!F4:F503)),"")</f>
        <v/>
      </c>
      <c r="G19" s="166">
        <f>IFERROR(IF(E19=0,"",F19/E19),"")</f>
        <v/>
      </c>
      <c r="H19" s="139">
        <f>IFERROR(IF(E19="","",E19-F19),"")</f>
        <v/>
      </c>
      <c r="I19" s="133">
        <f>IFERROR(IF(G19="","",IF(G19&gt;=1,"✅ TERCAPAI",IF(G19&gt;=0.5,"⚠ MENUJU TARGET","❌ PERLU PERHATIAN"))),"—")</f>
        <v/>
      </c>
      <c r="J19" s="167">
        <f>IFERROR(IF(G19="","",REPT("█",MIN(ROUND(G19*20,0),20))&amp;"  "&amp;TEXT(G19,"0.0%")),"—")</f>
        <v/>
      </c>
      <c r="K19" s="121" t="n"/>
      <c r="L19" s="121" t="n"/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27.75" customHeight="1" s="122">
      <c r="A20" s="121" t="n"/>
      <c r="B20" s="172" t="inlineStr">
        <is>
          <t>TOTAL KESELURUHAN</t>
        </is>
      </c>
      <c r="C20" s="149" t="n"/>
      <c r="D20" s="149" t="n"/>
      <c r="E20" s="150">
        <f>SUM(E5:E19)</f>
        <v/>
      </c>
      <c r="F20" s="150">
        <f>SUM(F5:F19)</f>
        <v/>
      </c>
      <c r="G20" s="173">
        <f>IFERROR(F20/E20,"")</f>
        <v/>
      </c>
      <c r="H20" s="150">
        <f>E20-F20</f>
        <v/>
      </c>
      <c r="I20" s="151" t="n"/>
      <c r="J20" s="151" t="n"/>
      <c r="K20" s="121" t="n"/>
      <c r="L20" s="121" t="n"/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15.75" customHeight="1" s="122">
      <c r="A21" s="121" t="n"/>
      <c r="B21" s="121" t="n"/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25.5" customHeight="1" s="122">
      <c r="A22" s="121" t="n"/>
      <c r="B22" s="174" t="inlineStr">
        <is>
          <t>👥  PENCAPAIAN DALAM SATUAN USER / PESERTA</t>
        </is>
      </c>
      <c r="C22" s="124" t="n"/>
      <c r="D22" s="124" t="n"/>
      <c r="E22" s="124" t="n"/>
      <c r="F22" s="124" t="n"/>
      <c r="G22" s="124" t="n"/>
      <c r="H22" s="124" t="n"/>
      <c r="I22" s="124" t="n"/>
      <c r="J22" s="124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37.5" customHeight="1" s="122">
      <c r="A23" s="121" t="n"/>
      <c r="B23" s="175" t="inlineStr">
        <is>
          <t>No</t>
        </is>
      </c>
      <c r="C23" s="175" t="inlineStr">
        <is>
          <t>Program</t>
        </is>
      </c>
      <c r="D23" s="175" t="inlineStr">
        <is>
          <t>PIC</t>
        </is>
      </c>
      <c r="E23" s="175" t="inlineStr">
        <is>
          <t>Target Bulanan</t>
        </is>
      </c>
      <c r="F23" s="175" t="inlineStr">
        <is>
          <t>Pencapaian</t>
        </is>
      </c>
      <c r="G23" s="175" t="inlineStr">
        <is>
          <t>% Capaian</t>
        </is>
      </c>
      <c r="H23" s="175" t="inlineStr">
        <is>
          <t>Sisa Target</t>
        </is>
      </c>
      <c r="I23" s="175" t="inlineStr">
        <is>
          <t>Status</t>
        </is>
      </c>
      <c r="J23" s="175" t="inlineStr">
        <is>
          <t>Progress Bar</t>
        </is>
      </c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21.75" customHeight="1" s="122">
      <c r="A24" s="121" t="n"/>
      <c r="B24" s="133" t="n">
        <v>1</v>
      </c>
      <c r="C24" s="164">
        <f>'MASTER DATA'!C5</f>
        <v/>
      </c>
      <c r="D24" s="158">
        <f>'MASTER DATA'!D5</f>
        <v/>
      </c>
      <c r="E24" s="165">
        <f>IFERROR(IF('MASTER DATA'!C5="","",'MASTER DATA'!F5),"")</f>
        <v/>
      </c>
      <c r="F24" s="139">
        <f>IFERROR(IF(C24="","",SUMIF('INPUT HARIAN'!D4:D503,C24,'INPUT HARIAN'!G4:G503)),"")</f>
        <v/>
      </c>
      <c r="G24" s="166">
        <f>IFERROR(IF(E24=0,"",F24/E24),"")</f>
        <v/>
      </c>
      <c r="H24" s="139">
        <f>IFERROR(IF(E24="","",E24-F24),"")</f>
        <v/>
      </c>
      <c r="I24" s="133">
        <f>IFERROR(IF(G24="","",IF(G24&gt;=1,"✅ TERCAPAI",IF(G24&gt;=0.5,"⚠ MENUJU TARGET","❌ PERLU PERHATIAN"))),"—")</f>
        <v/>
      </c>
      <c r="J24" s="176">
        <f>IFERROR(IF(G24="","",REPT("█",MIN(ROUND(G24*20,0),20))&amp;"  "&amp;TEXT(G24,"0.0%")),"—")</f>
        <v/>
      </c>
      <c r="K24" s="121" t="n"/>
      <c r="L24" s="121" t="n"/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21.75" customHeight="1" s="122">
      <c r="A25" s="121" t="n"/>
      <c r="B25" s="143" t="n">
        <v>2</v>
      </c>
      <c r="C25" s="168">
        <f>'MASTER DATA'!C6</f>
        <v/>
      </c>
      <c r="D25" s="160">
        <f>'MASTER DATA'!D6</f>
        <v/>
      </c>
      <c r="E25" s="169">
        <f>IFERROR(IF('MASTER DATA'!C6="","",'MASTER DATA'!F6),"")</f>
        <v/>
      </c>
      <c r="F25" s="144">
        <f>IFERROR(IF(C25="","",SUMIF('INPUT HARIAN'!D4:D503,C25,'INPUT HARIAN'!G4:G503)),"")</f>
        <v/>
      </c>
      <c r="G25" s="170">
        <f>IFERROR(IF(E25=0,"",F25/E25),"")</f>
        <v/>
      </c>
      <c r="H25" s="144">
        <f>IFERROR(IF(E25="","",E25-F25),"")</f>
        <v/>
      </c>
      <c r="I25" s="143">
        <f>IFERROR(IF(G25="","",IF(G25&gt;=1,"✅ TERCAPAI",IF(G25&gt;=0.5,"⚠ MENUJU TARGET","❌ PERLU PERHATIAN"))),"—")</f>
        <v/>
      </c>
      <c r="J25" s="177">
        <f>IFERROR(IF(G25="","",REPT("█",MIN(ROUND(G25*20,0),20))&amp;"  "&amp;TEXT(G25,"0.0%")),"—")</f>
        <v/>
      </c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21.75" customHeight="1" s="122">
      <c r="A26" s="121" t="n"/>
      <c r="B26" s="133" t="n">
        <v>3</v>
      </c>
      <c r="C26" s="164">
        <f>'MASTER DATA'!C7</f>
        <v/>
      </c>
      <c r="D26" s="158">
        <f>'MASTER DATA'!D7</f>
        <v/>
      </c>
      <c r="E26" s="165">
        <f>IFERROR(IF('MASTER DATA'!C7="","",'MASTER DATA'!F7),"")</f>
        <v/>
      </c>
      <c r="F26" s="139">
        <f>IFERROR(IF(C26="","",SUMIF('INPUT HARIAN'!D4:D503,C26,'INPUT HARIAN'!G4:G503)),"")</f>
        <v/>
      </c>
      <c r="G26" s="166">
        <f>IFERROR(IF(E26=0,"",F26/E26),"")</f>
        <v/>
      </c>
      <c r="H26" s="139">
        <f>IFERROR(IF(E26="","",E26-F26),"")</f>
        <v/>
      </c>
      <c r="I26" s="133">
        <f>IFERROR(IF(G26="","",IF(G26&gt;=1,"✅ TERCAPAI",IF(G26&gt;=0.5,"⚠ MENUJU TARGET","❌ PERLU PERHATIAN"))),"—")</f>
        <v/>
      </c>
      <c r="J26" s="176">
        <f>IFERROR(IF(G26="","",REPT("█",MIN(ROUND(G26*20,0),20))&amp;"  "&amp;TEXT(G26,"0.0%")),"—")</f>
        <v/>
      </c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21.75" customHeight="1" s="122">
      <c r="A27" s="121" t="n"/>
      <c r="B27" s="143" t="n">
        <v>4</v>
      </c>
      <c r="C27" s="168">
        <f>'MASTER DATA'!C8</f>
        <v/>
      </c>
      <c r="D27" s="160">
        <f>'MASTER DATA'!D8</f>
        <v/>
      </c>
      <c r="E27" s="169">
        <f>IFERROR(IF('MASTER DATA'!C8="","",'MASTER DATA'!F8),"")</f>
        <v/>
      </c>
      <c r="F27" s="144">
        <f>IFERROR(IF(C27="","",SUMIF('INPUT HARIAN'!D4:D503,C27,'INPUT HARIAN'!G4:G503)),"")</f>
        <v/>
      </c>
      <c r="G27" s="170">
        <f>IFERROR(IF(E27=0,"",F27/E27),"")</f>
        <v/>
      </c>
      <c r="H27" s="144">
        <f>IFERROR(IF(E27="","",E27-F27),"")</f>
        <v/>
      </c>
      <c r="I27" s="143">
        <f>IFERROR(IF(G27="","",IF(G27&gt;=1,"✅ TERCAPAI",IF(G27&gt;=0.5,"⚠ MENUJU TARGET","❌ PERLU PERHATIAN"))),"—")</f>
        <v/>
      </c>
      <c r="J27" s="177">
        <f>IFERROR(IF(G27="","",REPT("█",MIN(ROUND(G27*20,0),20))&amp;"  "&amp;TEXT(G27,"0.0%")),"—")</f>
        <v/>
      </c>
      <c r="K27" s="121" t="n"/>
      <c r="L27" s="121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21.75" customHeight="1" s="122">
      <c r="A28" s="121" t="n"/>
      <c r="B28" s="133" t="n">
        <v>5</v>
      </c>
      <c r="C28" s="164">
        <f>'MASTER DATA'!C9</f>
        <v/>
      </c>
      <c r="D28" s="158">
        <f>'MASTER DATA'!D9</f>
        <v/>
      </c>
      <c r="E28" s="165">
        <f>IFERROR(IF('MASTER DATA'!C9="","",'MASTER DATA'!F9),"")</f>
        <v/>
      </c>
      <c r="F28" s="139">
        <f>IFERROR(IF(C28="","",SUMIF('INPUT HARIAN'!D4:D503,C28,'INPUT HARIAN'!G4:G503)),"")</f>
        <v/>
      </c>
      <c r="G28" s="166">
        <f>IFERROR(IF(E28=0,"",F28/E28),"")</f>
        <v/>
      </c>
      <c r="H28" s="139">
        <f>IFERROR(IF(E28="","",E28-F28),"")</f>
        <v/>
      </c>
      <c r="I28" s="133">
        <f>IFERROR(IF(G28="","",IF(G28&gt;=1,"✅ TERCAPAI",IF(G28&gt;=0.5,"⚠ MENUJU TARGET","❌ PERLU PERHATIAN"))),"—")</f>
        <v/>
      </c>
      <c r="J28" s="176">
        <f>IFERROR(IF(G28="","",REPT("█",MIN(ROUND(G28*20,0),20))&amp;"  "&amp;TEXT(G28,"0.0%")),"—")</f>
        <v/>
      </c>
      <c r="K28" s="121" t="n"/>
      <c r="L28" s="121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21.75" customHeight="1" s="122">
      <c r="A29" s="121" t="n"/>
      <c r="B29" s="143" t="n">
        <v>6</v>
      </c>
      <c r="C29" s="168">
        <f>'MASTER DATA'!C10</f>
        <v/>
      </c>
      <c r="D29" s="160">
        <f>'MASTER DATA'!D10</f>
        <v/>
      </c>
      <c r="E29" s="169">
        <f>IFERROR(IF('MASTER DATA'!C10="","",'MASTER DATA'!F10),"")</f>
        <v/>
      </c>
      <c r="F29" s="144">
        <f>IFERROR(IF(C29="","",SUMIF('INPUT HARIAN'!D4:D503,C29,'INPUT HARIAN'!G4:G503)),"")</f>
        <v/>
      </c>
      <c r="G29" s="170">
        <f>IFERROR(IF(E29=0,"",F29/E29),"")</f>
        <v/>
      </c>
      <c r="H29" s="144">
        <f>IFERROR(IF(E29="","",E29-F29),"")</f>
        <v/>
      </c>
      <c r="I29" s="143">
        <f>IFERROR(IF(G29="","",IF(G29&gt;=1,"✅ TERCAPAI",IF(G29&gt;=0.5,"⚠ MENUJU TARGET","❌ PERLU PERHATIAN"))),"—")</f>
        <v/>
      </c>
      <c r="J29" s="177">
        <f>IFERROR(IF(G29="","",REPT("█",MIN(ROUND(G29*20,0),20))&amp;"  "&amp;TEXT(G29,"0.0%")),"—")</f>
        <v/>
      </c>
      <c r="K29" s="121" t="n"/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21.75" customHeight="1" s="122">
      <c r="A30" s="121" t="n"/>
      <c r="B30" s="133" t="n">
        <v>7</v>
      </c>
      <c r="C30" s="164">
        <f>'MASTER DATA'!C11</f>
        <v/>
      </c>
      <c r="D30" s="158">
        <f>'MASTER DATA'!D11</f>
        <v/>
      </c>
      <c r="E30" s="165">
        <f>IFERROR(IF('MASTER DATA'!C11="","",'MASTER DATA'!F11),"")</f>
        <v/>
      </c>
      <c r="F30" s="139">
        <f>IFERROR(IF(C30="","",SUMIF('INPUT HARIAN'!D4:D503,C30,'INPUT HARIAN'!G4:G503)),"")</f>
        <v/>
      </c>
      <c r="G30" s="166">
        <f>IFERROR(IF(E30=0,"",F30/E30),"")</f>
        <v/>
      </c>
      <c r="H30" s="139">
        <f>IFERROR(IF(E30="","",E30-F30),"")</f>
        <v/>
      </c>
      <c r="I30" s="133">
        <f>IFERROR(IF(G30="","",IF(G30&gt;=1,"✅ TERCAPAI",IF(G30&gt;=0.5,"⚠ MENUJU TARGET","❌ PERLU PERHATIAN"))),"—")</f>
        <v/>
      </c>
      <c r="J30" s="176">
        <f>IFERROR(IF(G30="","",REPT("█",MIN(ROUND(G30*20,0),20))&amp;"  "&amp;TEXT(G30,"0.0%")),"—")</f>
        <v/>
      </c>
      <c r="K30" s="121" t="n"/>
      <c r="L30" s="121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21.75" customHeight="1" s="122">
      <c r="A31" s="121" t="n"/>
      <c r="B31" s="143" t="n">
        <v>8</v>
      </c>
      <c r="C31" s="168">
        <f>'MASTER DATA'!C12</f>
        <v/>
      </c>
      <c r="D31" s="160">
        <f>'MASTER DATA'!D12</f>
        <v/>
      </c>
      <c r="E31" s="169">
        <f>IFERROR(IF('MASTER DATA'!C12="","",'MASTER DATA'!F12),"")</f>
        <v/>
      </c>
      <c r="F31" s="144">
        <f>IFERROR(IF(C31="","",SUMIF('INPUT HARIAN'!D4:D503,C31,'INPUT HARIAN'!G4:G503)),"")</f>
        <v/>
      </c>
      <c r="G31" s="170">
        <f>IFERROR(IF(E31=0,"",F31/E31),"")</f>
        <v/>
      </c>
      <c r="H31" s="144">
        <f>IFERROR(IF(E31="","",E31-F31),"")</f>
        <v/>
      </c>
      <c r="I31" s="143">
        <f>IFERROR(IF(G31="","",IF(G31&gt;=1,"✅ TERCAPAI",IF(G31&gt;=0.5,"⚠ MENUJU TARGET","❌ PERLU PERHATIAN"))),"—")</f>
        <v/>
      </c>
      <c r="J31" s="177">
        <f>IFERROR(IF(G31="","",REPT("█",MIN(ROUND(G31*20,0),20))&amp;"  "&amp;TEXT(G31,"0.0%")),"—")</f>
        <v/>
      </c>
      <c r="K31" s="121" t="n"/>
      <c r="L31" s="121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21.75" customHeight="1" s="122">
      <c r="A32" s="121" t="n"/>
      <c r="B32" s="133" t="n">
        <v>9</v>
      </c>
      <c r="C32" s="164">
        <f>'MASTER DATA'!C13</f>
        <v/>
      </c>
      <c r="D32" s="158">
        <f>'MASTER DATA'!D13</f>
        <v/>
      </c>
      <c r="E32" s="165">
        <f>IFERROR(IF('MASTER DATA'!C13="","",'MASTER DATA'!F13),"")</f>
        <v/>
      </c>
      <c r="F32" s="139">
        <f>IFERROR(IF(C32="","",SUMIF('INPUT HARIAN'!D4:D503,C32,'INPUT HARIAN'!G4:G503)),"")</f>
        <v/>
      </c>
      <c r="G32" s="166">
        <f>IFERROR(IF(E32=0,"",F32/E32),"")</f>
        <v/>
      </c>
      <c r="H32" s="139">
        <f>IFERROR(IF(E32="","",E32-F32),"")</f>
        <v/>
      </c>
      <c r="I32" s="133">
        <f>IFERROR(IF(G32="","",IF(G32&gt;=1,"✅ TERCAPAI",IF(G32&gt;=0.5,"⚠ MENUJU TARGET","❌ PERLU PERHATIAN"))),"—")</f>
        <v/>
      </c>
      <c r="J32" s="176">
        <f>IFERROR(IF(G32="","",REPT("█",MIN(ROUND(G32*20,0),20))&amp;"  "&amp;TEXT(G32,"0.0%")),"—")</f>
        <v/>
      </c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21.75" customHeight="1" s="122">
      <c r="A33" s="121" t="n"/>
      <c r="B33" s="143" t="n">
        <v>10</v>
      </c>
      <c r="C33" s="168">
        <f>'MASTER DATA'!C14</f>
        <v/>
      </c>
      <c r="D33" s="160">
        <f>'MASTER DATA'!D14</f>
        <v/>
      </c>
      <c r="E33" s="169">
        <f>IFERROR(IF('MASTER DATA'!C14="","",'MASTER DATA'!F14),"")</f>
        <v/>
      </c>
      <c r="F33" s="144">
        <f>IFERROR(IF(C33="","",SUMIF('INPUT HARIAN'!D4:D503,C33,'INPUT HARIAN'!G4:G503)),"")</f>
        <v/>
      </c>
      <c r="G33" s="170">
        <f>IFERROR(IF(E33=0,"",F33/E33),"")</f>
        <v/>
      </c>
      <c r="H33" s="144">
        <f>IFERROR(IF(E33="","",E33-F33),"")</f>
        <v/>
      </c>
      <c r="I33" s="143">
        <f>IFERROR(IF(G33="","",IF(G33&gt;=1,"✅ TERCAPAI",IF(G33&gt;=0.5,"⚠ MENUJU TARGET","❌ PERLU PERHATIAN"))),"—")</f>
        <v/>
      </c>
      <c r="J33" s="177">
        <f>IFERROR(IF(G33="","",REPT("█",MIN(ROUND(G33*20,0),20))&amp;"  "&amp;TEXT(G33,"0.0%")),"—")</f>
        <v/>
      </c>
      <c r="K33" s="121" t="n"/>
      <c r="L33" s="121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21.75" customHeight="1" s="122">
      <c r="A34" s="121" t="n"/>
      <c r="B34" s="133" t="n">
        <v>11</v>
      </c>
      <c r="C34" s="164">
        <f>'MASTER DATA'!C15</f>
        <v/>
      </c>
      <c r="D34" s="158">
        <f>'MASTER DATA'!D15</f>
        <v/>
      </c>
      <c r="E34" s="165">
        <f>IFERROR(IF('MASTER DATA'!C15="","",'MASTER DATA'!F15),"")</f>
        <v/>
      </c>
      <c r="F34" s="139">
        <f>IFERROR(IF(C34="","",SUMIF('INPUT HARIAN'!D4:D503,C34,'INPUT HARIAN'!G4:G503)),"")</f>
        <v/>
      </c>
      <c r="G34" s="166">
        <f>IFERROR(IF(E34=0,"",F34/E34),"")</f>
        <v/>
      </c>
      <c r="H34" s="139">
        <f>IFERROR(IF(E34="","",E34-F34),"")</f>
        <v/>
      </c>
      <c r="I34" s="133">
        <f>IFERROR(IF(G34="","",IF(G34&gt;=1,"✅ TERCAPAI",IF(G34&gt;=0.5,"⚠ MENUJU TARGET","❌ PERLU PERHATIAN"))),"—")</f>
        <v/>
      </c>
      <c r="J34" s="176">
        <f>IFERROR(IF(G34="","",REPT("█",MIN(ROUND(G34*20,0),20))&amp;"  "&amp;TEXT(G34,"0.0%")),"—")</f>
        <v/>
      </c>
      <c r="K34" s="121" t="n"/>
      <c r="L34" s="121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21.75" customHeight="1" s="122">
      <c r="A35" s="121" t="n"/>
      <c r="B35" s="143" t="n">
        <v>12</v>
      </c>
      <c r="C35" s="168">
        <f>'MASTER DATA'!C16</f>
        <v/>
      </c>
      <c r="D35" s="160">
        <f>'MASTER DATA'!D16</f>
        <v/>
      </c>
      <c r="E35" s="169">
        <f>IFERROR(IF('MASTER DATA'!C16="","",'MASTER DATA'!F16),"")</f>
        <v/>
      </c>
      <c r="F35" s="144">
        <f>IFERROR(IF(C35="","",SUMIF('INPUT HARIAN'!D4:D503,C35,'INPUT HARIAN'!G4:G503)),"")</f>
        <v/>
      </c>
      <c r="G35" s="170">
        <f>IFERROR(IF(E35=0,"",F35/E35),"")</f>
        <v/>
      </c>
      <c r="H35" s="144">
        <f>IFERROR(IF(E35="","",E35-F35),"")</f>
        <v/>
      </c>
      <c r="I35" s="143">
        <f>IFERROR(IF(G35="","",IF(G35&gt;=1,"✅ TERCAPAI",IF(G35&gt;=0.5,"⚠ MENUJU TARGET","❌ PERLU PERHATIAN"))),"—")</f>
        <v/>
      </c>
      <c r="J35" s="177">
        <f>IFERROR(IF(G35="","",REPT("█",MIN(ROUND(G35*20,0),20))&amp;"  "&amp;TEXT(G35,"0.0%")),"—")</f>
        <v/>
      </c>
      <c r="K35" s="121" t="n"/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21.75" customHeight="1" s="122">
      <c r="A36" s="121" t="n"/>
      <c r="B36" s="133" t="n">
        <v>13</v>
      </c>
      <c r="C36" s="164">
        <f>'MASTER DATA'!C17</f>
        <v/>
      </c>
      <c r="D36" s="158">
        <f>'MASTER DATA'!D17</f>
        <v/>
      </c>
      <c r="E36" s="165">
        <f>IFERROR(IF('MASTER DATA'!C17="","",'MASTER DATA'!F17),"")</f>
        <v/>
      </c>
      <c r="F36" s="139">
        <f>IFERROR(IF(C36="","",SUMIF('INPUT HARIAN'!D4:D503,C36,'INPUT HARIAN'!G4:G503)),"")</f>
        <v/>
      </c>
      <c r="G36" s="166">
        <f>IFERROR(IF(E36=0,"",F36/E36),"")</f>
        <v/>
      </c>
      <c r="H36" s="139">
        <f>IFERROR(IF(E36="","",E36-F36),"")</f>
        <v/>
      </c>
      <c r="I36" s="133">
        <f>IFERROR(IF(G36="","",IF(G36&gt;=1,"✅ TERCAPAI",IF(G36&gt;=0.5,"⚠ MENUJU TARGET","❌ PERLU PERHATIAN"))),"—")</f>
        <v/>
      </c>
      <c r="J36" s="176">
        <f>IFERROR(IF(G36="","",REPT("█",MIN(ROUND(G36*20,0),20))&amp;"  "&amp;TEXT(G36,"0.0%")),"—")</f>
        <v/>
      </c>
      <c r="K36" s="121" t="n"/>
      <c r="L36" s="12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21.75" customHeight="1" s="122">
      <c r="A37" s="121" t="n"/>
      <c r="B37" s="143" t="n">
        <v>14</v>
      </c>
      <c r="C37" s="168">
        <f>'MASTER DATA'!C18</f>
        <v/>
      </c>
      <c r="D37" s="160">
        <f>'MASTER DATA'!D18</f>
        <v/>
      </c>
      <c r="E37" s="169">
        <f>IFERROR(IF('MASTER DATA'!C18="","",'MASTER DATA'!F18),"")</f>
        <v/>
      </c>
      <c r="F37" s="144">
        <f>IFERROR(IF(C37="","",SUMIF('INPUT HARIAN'!D4:D503,C37,'INPUT HARIAN'!G4:G503)),"")</f>
        <v/>
      </c>
      <c r="G37" s="170">
        <f>IFERROR(IF(E37=0,"",F37/E37),"")</f>
        <v/>
      </c>
      <c r="H37" s="144">
        <f>IFERROR(IF(E37="","",E37-F37),"")</f>
        <v/>
      </c>
      <c r="I37" s="143">
        <f>IFERROR(IF(G37="","",IF(G37&gt;=1,"✅ TERCAPAI",IF(G37&gt;=0.5,"⚠ MENUJU TARGET","❌ PERLU PERHATIAN"))),"—")</f>
        <v/>
      </c>
      <c r="J37" s="177">
        <f>IFERROR(IF(G37="","",REPT("█",MIN(ROUND(G37*20,0),20))&amp;"  "&amp;TEXT(G37,"0.0%")),"—")</f>
        <v/>
      </c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21.75" customHeight="1" s="122">
      <c r="A38" s="121" t="n"/>
      <c r="B38" s="133" t="n">
        <v>15</v>
      </c>
      <c r="C38" s="164">
        <f>'MASTER DATA'!C19</f>
        <v/>
      </c>
      <c r="D38" s="158">
        <f>'MASTER DATA'!D19</f>
        <v/>
      </c>
      <c r="E38" s="165">
        <f>IFERROR(IF('MASTER DATA'!C19="","",'MASTER DATA'!F19),"")</f>
        <v/>
      </c>
      <c r="F38" s="139">
        <f>IFERROR(IF(C38="","",SUMIF('INPUT HARIAN'!D4:D503,C38,'INPUT HARIAN'!G4:G503)),"")</f>
        <v/>
      </c>
      <c r="G38" s="166">
        <f>IFERROR(IF(E38=0,"",F38/E38),"")</f>
        <v/>
      </c>
      <c r="H38" s="139">
        <f>IFERROR(IF(E38="","",E38-F38),"")</f>
        <v/>
      </c>
      <c r="I38" s="133">
        <f>IFERROR(IF(G38="","",IF(G38&gt;=1,"✅ TERCAPAI",IF(G38&gt;=0.5,"⚠ MENUJU TARGET","❌ PERLU PERHATIAN"))),"—")</f>
        <v/>
      </c>
      <c r="J38" s="176">
        <f>IFERROR(IF(G38="","",REPT("█",MIN(ROUND(G38*20,0),20))&amp;"  "&amp;TEXT(G38,"0.0%")),"—")</f>
        <v/>
      </c>
      <c r="K38" s="121" t="n"/>
      <c r="L38" s="121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27.75" customHeight="1" s="122">
      <c r="A39" s="121" t="n"/>
      <c r="B39" s="172" t="inlineStr">
        <is>
          <t>TOTAL KESELURUHAN</t>
        </is>
      </c>
      <c r="C39" s="149" t="n"/>
      <c r="D39" s="149" t="n"/>
      <c r="E39" s="150">
        <f>SUM(E24:E38)</f>
        <v/>
      </c>
      <c r="F39" s="150">
        <f>SUM(F24:F38)</f>
        <v/>
      </c>
      <c r="G39" s="173">
        <f>IFERROR(F39/E39,"")</f>
        <v/>
      </c>
      <c r="H39" s="150">
        <f>E39-F39</f>
        <v/>
      </c>
      <c r="I39" s="151" t="n"/>
      <c r="J39" s="151" t="n"/>
      <c r="K39" s="121" t="n"/>
      <c r="L39" s="121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5.75" customHeight="1" s="122">
      <c r="A40" s="121" t="n"/>
      <c r="B40" s="121" t="n"/>
      <c r="C40" s="121" t="n"/>
      <c r="D40" s="121" t="n"/>
      <c r="E40" s="121" t="n"/>
      <c r="F40" s="121" t="n"/>
      <c r="G40" s="121" t="n"/>
      <c r="H40" s="121" t="n"/>
      <c r="I40" s="121" t="n"/>
      <c r="J40" s="121" t="n"/>
      <c r="K40" s="121" t="n"/>
      <c r="L40" s="121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5.75" customHeight="1" s="122">
      <c r="A41" s="121" t="n"/>
      <c r="B41" s="121" t="n"/>
      <c r="C41" s="121" t="n"/>
      <c r="D41" s="121" t="n"/>
      <c r="E41" s="121" t="n"/>
      <c r="F41" s="121" t="n"/>
      <c r="G41" s="121" t="n"/>
      <c r="H41" s="121" t="n"/>
      <c r="I41" s="121" t="n"/>
      <c r="J41" s="121" t="n"/>
      <c r="K41" s="121" t="n"/>
      <c r="L41" s="121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5.75" customHeight="1" s="122">
      <c r="A42" s="121" t="n"/>
      <c r="B42" s="121" t="n"/>
      <c r="C42" s="121" t="n"/>
      <c r="D42" s="121" t="n"/>
      <c r="E42" s="121" t="n"/>
      <c r="F42" s="121" t="n"/>
      <c r="G42" s="121" t="n"/>
      <c r="H42" s="121" t="n"/>
      <c r="I42" s="121" t="n"/>
      <c r="J42" s="121" t="n"/>
      <c r="K42" s="121" t="n"/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5.75" customHeight="1" s="122">
      <c r="A43" s="121" t="n"/>
      <c r="B43" s="121" t="n"/>
      <c r="C43" s="121" t="n"/>
      <c r="D43" s="121" t="n"/>
      <c r="E43" s="121" t="n"/>
      <c r="F43" s="121" t="n"/>
      <c r="G43" s="121" t="n"/>
      <c r="H43" s="121" t="n"/>
      <c r="I43" s="121" t="n"/>
      <c r="J43" s="121" t="n"/>
      <c r="K43" s="121" t="n"/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5.75" customHeight="1" s="122">
      <c r="A44" s="121" t="n"/>
      <c r="B44" s="121" t="n"/>
      <c r="C44" s="121" t="n"/>
      <c r="D44" s="121" t="n"/>
      <c r="E44" s="121" t="n"/>
      <c r="F44" s="121" t="n"/>
      <c r="G44" s="121" t="n"/>
      <c r="H44" s="121" t="n"/>
      <c r="I44" s="121" t="n"/>
      <c r="J44" s="121" t="n"/>
      <c r="K44" s="121" t="n"/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5.75" customHeight="1" s="122">
      <c r="A45" s="121" t="n"/>
      <c r="B45" s="121" t="n"/>
      <c r="C45" s="121" t="n"/>
      <c r="D45" s="121" t="n"/>
      <c r="E45" s="121" t="n"/>
      <c r="F45" s="121" t="n"/>
      <c r="G45" s="121" t="n"/>
      <c r="H45" s="121" t="n"/>
      <c r="I45" s="121" t="n"/>
      <c r="J45" s="121" t="n"/>
      <c r="K45" s="121" t="n"/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5.75" customHeight="1" s="122">
      <c r="A46" s="121" t="n"/>
      <c r="B46" s="121" t="n"/>
      <c r="C46" s="121" t="n"/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5.75" customHeight="1" s="122">
      <c r="A47" s="121" t="n"/>
      <c r="B47" s="121" t="n"/>
      <c r="C47" s="121" t="n"/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5.75" customHeight="1" s="122">
      <c r="A48" s="121" t="n"/>
      <c r="B48" s="121" t="n"/>
      <c r="C48" s="121" t="n"/>
      <c r="D48" s="121" t="n"/>
      <c r="E48" s="121" t="n"/>
      <c r="F48" s="121" t="n"/>
      <c r="G48" s="121" t="n"/>
      <c r="H48" s="121" t="n"/>
      <c r="I48" s="121" t="n"/>
      <c r="J48" s="121" t="n"/>
      <c r="K48" s="121" t="n"/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5.75" customHeight="1" s="122">
      <c r="A49" s="121" t="n"/>
      <c r="B49" s="121" t="n"/>
      <c r="C49" s="121" t="n"/>
      <c r="D49" s="121" t="n"/>
      <c r="E49" s="121" t="n"/>
      <c r="F49" s="121" t="n"/>
      <c r="G49" s="121" t="n"/>
      <c r="H49" s="121" t="n"/>
      <c r="I49" s="121" t="n"/>
      <c r="J49" s="121" t="n"/>
      <c r="K49" s="121" t="n"/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5.75" customHeight="1" s="122">
      <c r="A50" s="121" t="n"/>
      <c r="B50" s="121" t="n"/>
      <c r="C50" s="121" t="n"/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5.75" customHeight="1" s="122">
      <c r="A51" s="121" t="n"/>
      <c r="B51" s="121" t="n"/>
      <c r="C51" s="121" t="n"/>
      <c r="D51" s="121" t="n"/>
      <c r="E51" s="121" t="n"/>
      <c r="F51" s="121" t="n"/>
      <c r="G51" s="121" t="n"/>
      <c r="H51" s="121" t="n"/>
      <c r="I51" s="121" t="n"/>
      <c r="J51" s="121" t="n"/>
      <c r="K51" s="121" t="n"/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5.75" customHeight="1" s="122">
      <c r="A52" s="121" t="n"/>
      <c r="B52" s="121" t="n"/>
      <c r="C52" s="121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5.75" customHeight="1" s="122">
      <c r="A53" s="121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5.75" customHeight="1" s="122">
      <c r="A54" s="121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1" t="n"/>
      <c r="K54" s="121" t="n"/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5.75" customHeight="1" s="122">
      <c r="A55" s="121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1" t="n"/>
      <c r="K55" s="121" t="n"/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5.75" customHeight="1" s="122">
      <c r="A56" s="121" t="n"/>
      <c r="B56" s="121" t="n"/>
      <c r="C56" s="121" t="n"/>
      <c r="D56" s="121" t="n"/>
      <c r="E56" s="121" t="n"/>
      <c r="F56" s="121" t="n"/>
      <c r="G56" s="121" t="n"/>
      <c r="H56" s="121" t="n"/>
      <c r="I56" s="121" t="n"/>
      <c r="J56" s="121" t="n"/>
      <c r="K56" s="121" t="n"/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5.75" customHeight="1" s="122">
      <c r="A57" s="121" t="n"/>
      <c r="B57" s="121" t="n"/>
      <c r="C57" s="121" t="n"/>
      <c r="D57" s="121" t="n"/>
      <c r="E57" s="121" t="n"/>
      <c r="F57" s="121" t="n"/>
      <c r="G57" s="121" t="n"/>
      <c r="H57" s="121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5.75" customHeight="1" s="122">
      <c r="A58" s="121" t="n"/>
      <c r="B58" s="121" t="n"/>
      <c r="C58" s="121" t="n"/>
      <c r="D58" s="121" t="n"/>
      <c r="E58" s="121" t="n"/>
      <c r="F58" s="121" t="n"/>
      <c r="G58" s="121" t="n"/>
      <c r="H58" s="121" t="n"/>
      <c r="I58" s="121" t="n"/>
      <c r="J58" s="121" t="n"/>
      <c r="K58" s="121" t="n"/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5.75" customHeight="1" s="122">
      <c r="A59" s="121" t="n"/>
      <c r="B59" s="121" t="n"/>
      <c r="C59" s="121" t="n"/>
      <c r="D59" s="121" t="n"/>
      <c r="E59" s="121" t="n"/>
      <c r="F59" s="121" t="n"/>
      <c r="G59" s="121" t="n"/>
      <c r="H59" s="121" t="n"/>
      <c r="I59" s="121" t="n"/>
      <c r="J59" s="121" t="n"/>
      <c r="K59" s="121" t="n"/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5.75" customHeight="1" s="122">
      <c r="A60" s="121" t="n"/>
      <c r="B60" s="121" t="n"/>
      <c r="C60" s="121" t="n"/>
      <c r="D60" s="121" t="n"/>
      <c r="E60" s="121" t="n"/>
      <c r="F60" s="121" t="n"/>
      <c r="G60" s="121" t="n"/>
      <c r="H60" s="121" t="n"/>
      <c r="I60" s="121" t="n"/>
      <c r="J60" s="121" t="n"/>
      <c r="K60" s="121" t="n"/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5.75" customHeight="1" s="122">
      <c r="A61" s="121" t="n"/>
      <c r="B61" s="121" t="n"/>
      <c r="C61" s="121" t="n"/>
      <c r="D61" s="121" t="n"/>
      <c r="E61" s="121" t="n"/>
      <c r="F61" s="121" t="n"/>
      <c r="G61" s="121" t="n"/>
      <c r="H61" s="121" t="n"/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5.75" customHeight="1" s="122">
      <c r="A62" s="121" t="n"/>
      <c r="B62" s="121" t="n"/>
      <c r="C62" s="121" t="n"/>
      <c r="D62" s="121" t="n"/>
      <c r="E62" s="121" t="n"/>
      <c r="F62" s="121" t="n"/>
      <c r="G62" s="121" t="n"/>
      <c r="H62" s="121" t="n"/>
      <c r="I62" s="121" t="n"/>
      <c r="J62" s="121" t="n"/>
      <c r="K62" s="121" t="n"/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5.75" customHeight="1" s="122">
      <c r="A63" s="121" t="n"/>
      <c r="B63" s="121" t="n"/>
      <c r="C63" s="121" t="n"/>
      <c r="D63" s="121" t="n"/>
      <c r="E63" s="121" t="n"/>
      <c r="F63" s="121" t="n"/>
      <c r="G63" s="121" t="n"/>
      <c r="H63" s="121" t="n"/>
      <c r="I63" s="121" t="n"/>
      <c r="J63" s="121" t="n"/>
      <c r="K63" s="121" t="n"/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5.75" customHeight="1" s="122">
      <c r="A64" s="121" t="n"/>
      <c r="B64" s="121" t="n"/>
      <c r="C64" s="121" t="n"/>
      <c r="D64" s="121" t="n"/>
      <c r="E64" s="121" t="n"/>
      <c r="F64" s="121" t="n"/>
      <c r="G64" s="121" t="n"/>
      <c r="H64" s="121" t="n"/>
      <c r="I64" s="121" t="n"/>
      <c r="J64" s="121" t="n"/>
      <c r="K64" s="121" t="n"/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5.75" customHeight="1" s="122">
      <c r="A65" s="121" t="n"/>
      <c r="B65" s="121" t="n"/>
      <c r="C65" s="121" t="n"/>
      <c r="D65" s="121" t="n"/>
      <c r="E65" s="121" t="n"/>
      <c r="F65" s="121" t="n"/>
      <c r="G65" s="121" t="n"/>
      <c r="H65" s="121" t="n"/>
      <c r="I65" s="121" t="n"/>
      <c r="J65" s="121" t="n"/>
      <c r="K65" s="121" t="n"/>
      <c r="L65" s="121" t="n"/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5.75" customHeight="1" s="122">
      <c r="A66" s="121" t="n"/>
      <c r="B66" s="121" t="n"/>
      <c r="C66" s="121" t="n"/>
      <c r="D66" s="121" t="n"/>
      <c r="E66" s="121" t="n"/>
      <c r="F66" s="121" t="n"/>
      <c r="G66" s="121" t="n"/>
      <c r="H66" s="121" t="n"/>
      <c r="I66" s="121" t="n"/>
      <c r="J66" s="121" t="n"/>
      <c r="K66" s="121" t="n"/>
      <c r="L66" s="121" t="n"/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5.75" customHeight="1" s="122">
      <c r="A67" s="121" t="n"/>
      <c r="B67" s="121" t="n"/>
      <c r="C67" s="121" t="n"/>
      <c r="D67" s="121" t="n"/>
      <c r="E67" s="121" t="n"/>
      <c r="F67" s="121" t="n"/>
      <c r="G67" s="121" t="n"/>
      <c r="H67" s="121" t="n"/>
      <c r="I67" s="121" t="n"/>
      <c r="J67" s="121" t="n"/>
      <c r="K67" s="121" t="n"/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5.75" customHeight="1" s="122">
      <c r="A68" s="121" t="n"/>
      <c r="B68" s="121" t="n"/>
      <c r="C68" s="121" t="n"/>
      <c r="D68" s="121" t="n"/>
      <c r="E68" s="121" t="n"/>
      <c r="F68" s="121" t="n"/>
      <c r="G68" s="121" t="n"/>
      <c r="H68" s="121" t="n"/>
      <c r="I68" s="121" t="n"/>
      <c r="J68" s="121" t="n"/>
      <c r="K68" s="121" t="n"/>
      <c r="L68" s="121" t="n"/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5.75" customHeight="1" s="122">
      <c r="A69" s="121" t="n"/>
      <c r="B69" s="121" t="n"/>
      <c r="C69" s="121" t="n"/>
      <c r="D69" s="121" t="n"/>
      <c r="E69" s="121" t="n"/>
      <c r="F69" s="121" t="n"/>
      <c r="G69" s="121" t="n"/>
      <c r="H69" s="121" t="n"/>
      <c r="I69" s="121" t="n"/>
      <c r="J69" s="121" t="n"/>
      <c r="K69" s="121" t="n"/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5.75" customHeight="1" s="122">
      <c r="A70" s="121" t="n"/>
      <c r="B70" s="121" t="n"/>
      <c r="C70" s="121" t="n"/>
      <c r="D70" s="121" t="n"/>
      <c r="E70" s="121" t="n"/>
      <c r="F70" s="121" t="n"/>
      <c r="G70" s="121" t="n"/>
      <c r="H70" s="121" t="n"/>
      <c r="I70" s="121" t="n"/>
      <c r="J70" s="121" t="n"/>
      <c r="K70" s="121" t="n"/>
      <c r="L70" s="121" t="n"/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15.75" customHeight="1" s="122">
      <c r="A71" s="121" t="n"/>
      <c r="B71" s="121" t="n"/>
      <c r="C71" s="121" t="n"/>
      <c r="D71" s="121" t="n"/>
      <c r="E71" s="121" t="n"/>
      <c r="F71" s="121" t="n"/>
      <c r="G71" s="121" t="n"/>
      <c r="H71" s="121" t="n"/>
      <c r="I71" s="121" t="n"/>
      <c r="J71" s="121" t="n"/>
      <c r="K71" s="121" t="n"/>
      <c r="L71" s="12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5.75" customHeight="1" s="122">
      <c r="A72" s="121" t="n"/>
      <c r="B72" s="121" t="n"/>
      <c r="C72" s="121" t="n"/>
      <c r="D72" s="121" t="n"/>
      <c r="E72" s="121" t="n"/>
      <c r="F72" s="121" t="n"/>
      <c r="G72" s="121" t="n"/>
      <c r="H72" s="121" t="n"/>
      <c r="I72" s="121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5.75" customHeight="1" s="122">
      <c r="A73" s="121" t="n"/>
      <c r="B73" s="121" t="n"/>
      <c r="C73" s="121" t="n"/>
      <c r="D73" s="121" t="n"/>
      <c r="E73" s="121" t="n"/>
      <c r="F73" s="121" t="n"/>
      <c r="G73" s="121" t="n"/>
      <c r="H73" s="121" t="n"/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5.75" customHeight="1" s="122">
      <c r="A74" s="121" t="n"/>
      <c r="B74" s="121" t="n"/>
      <c r="C74" s="121" t="n"/>
      <c r="D74" s="121" t="n"/>
      <c r="E74" s="121" t="n"/>
      <c r="F74" s="121" t="n"/>
      <c r="G74" s="121" t="n"/>
      <c r="H74" s="121" t="n"/>
      <c r="I74" s="121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5.75" customHeight="1" s="122">
      <c r="A75" s="121" t="n"/>
      <c r="B75" s="121" t="n"/>
      <c r="C75" s="121" t="n"/>
      <c r="D75" s="121" t="n"/>
      <c r="E75" s="121" t="n"/>
      <c r="F75" s="121" t="n"/>
      <c r="G75" s="121" t="n"/>
      <c r="H75" s="121" t="n"/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5.75" customHeight="1" s="122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5.75" customHeight="1" s="122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5.75" customHeight="1" s="122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5.75" customHeight="1" s="122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5.75" customHeight="1" s="122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5.75" customHeight="1" s="122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5.75" customHeight="1" s="122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5.75" customHeight="1" s="122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5.75" customHeight="1" s="122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5.75" customHeight="1" s="122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5.75" customHeight="1" s="122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5.75" customHeight="1" s="122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5.75" customHeight="1" s="122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5.75" customHeight="1" s="122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5.75" customHeight="1" s="122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5.75" customHeight="1" s="122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5.75" customHeight="1" s="122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5.75" customHeight="1" s="122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5.75" customHeight="1" s="122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5.75" customHeight="1" s="122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5.75" customHeight="1" s="122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5.75" customHeight="1" s="122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5.75" customHeight="1" s="122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5.75" customHeight="1" s="122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5.75" customHeight="1" s="122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5.75" customHeight="1" s="122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5.75" customHeight="1" s="122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5.75" customHeight="1" s="122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5.75" customHeight="1" s="122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5.75" customHeight="1" s="122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5.75" customHeight="1" s="122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5.75" customHeight="1" s="122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5.75" customHeight="1" s="122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5.75" customHeight="1" s="122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5.75" customHeight="1" s="122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5.75" customHeight="1" s="122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5.75" customHeight="1" s="122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5.75" customHeight="1" s="122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5.75" customHeight="1" s="122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5.75" customHeight="1" s="122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5.75" customHeight="1" s="122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5.75" customHeight="1" s="122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5.75" customHeight="1" s="122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5.75" customHeight="1" s="122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5.75" customHeight="1" s="122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5.75" customHeight="1" s="122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5.75" customHeight="1" s="122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5.75" customHeight="1" s="122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5.75" customHeight="1" s="122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5.75" customHeight="1" s="122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5.75" customHeight="1" s="122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5.75" customHeight="1" s="122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5.75" customHeight="1" s="122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5.75" customHeight="1" s="122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5.75" customHeight="1" s="122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5.75" customHeight="1" s="122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5.75" customHeight="1" s="122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5.75" customHeight="1" s="122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5.75" customHeight="1" s="122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5.75" customHeight="1" s="122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5.75" customHeight="1" s="122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5.75" customHeight="1" s="122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5.75" customHeight="1" s="122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5.75" customHeight="1" s="122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5.75" customHeight="1" s="122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5.75" customHeight="1" s="122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5.75" customHeight="1" s="122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5.75" customHeight="1" s="122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5.75" customHeight="1" s="122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5.75" customHeight="1" s="122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5.75" customHeight="1" s="122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5.75" customHeight="1" s="122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5.75" customHeight="1" s="122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5.75" customHeight="1" s="122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5.75" customHeight="1" s="122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5.75" customHeight="1" s="122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5.75" customHeight="1" s="122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5.75" customHeight="1" s="122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5.75" customHeight="1" s="122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5.75" customHeight="1" s="122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5.75" customHeight="1" s="122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5.75" customHeight="1" s="122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5.75" customHeight="1" s="122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5.75" customHeight="1" s="122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5.75" customHeight="1" s="122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5.75" customHeight="1" s="122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5.75" customHeight="1" s="122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5.75" customHeight="1" s="122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5.75" customHeight="1" s="122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5.75" customHeight="1" s="122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5.75" customHeight="1" s="122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5.75" customHeight="1" s="122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5.75" customHeight="1" s="122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5.75" customHeight="1" s="122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5.75" customHeight="1" s="122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5.75" customHeight="1" s="122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5.75" customHeight="1" s="122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5.75" customHeight="1" s="122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5.75" customHeight="1" s="122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5.75" customHeight="1" s="122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5.75" customHeight="1" s="122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5.75" customHeight="1" s="122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5.75" customHeight="1" s="122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5.75" customHeight="1" s="122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5.75" customHeight="1" s="122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5.75" customHeight="1" s="122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5.75" customHeight="1" s="122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5.75" customHeight="1" s="122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5.75" customHeight="1" s="122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5.75" customHeight="1" s="122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5.75" customHeight="1" s="122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5.75" customHeight="1" s="122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5.75" customHeight="1" s="122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5.75" customHeight="1" s="122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5.75" customHeight="1" s="122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5.75" customHeight="1" s="122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5.75" customHeight="1" s="122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5.75" customHeight="1" s="122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5.75" customHeight="1" s="122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5.75" customHeight="1" s="122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5.75" customHeight="1" s="122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5.75" customHeight="1" s="122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5.75" customHeight="1" s="122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5.75" customHeight="1" s="122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5.75" customHeight="1" s="122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5.75" customHeight="1" s="122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5.75" customHeight="1" s="122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5.75" customHeight="1" s="122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5.75" customHeight="1" s="122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5.75" customHeight="1" s="122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5.75" customHeight="1" s="122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5.75" customHeight="1" s="122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5.75" customHeight="1" s="122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5.75" customHeight="1" s="122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5.75" customHeight="1" s="122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5.75" customHeight="1" s="122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5.75" customHeight="1" s="122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5.75" customHeight="1" s="122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5.75" customHeight="1" s="122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5.75" customHeight="1" s="122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5.75" customHeight="1" s="122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5.75" customHeight="1" s="122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5.75" customHeight="1" s="122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5.75" customHeight="1" s="122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5.75" customHeight="1" s="122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5.75" customHeight="1" s="122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5.75" customHeight="1" s="122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5.75" customHeight="1" s="122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5.75" customHeight="1" s="122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5.75" customHeight="1" s="122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5.75" customHeight="1" s="122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5.75" customHeight="1" s="122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5.75" customHeight="1" s="122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5.75" customHeight="1" s="122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5.75" customHeight="1" s="122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5.75" customHeight="1" s="122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5.75" customHeight="1" s="122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5.75" customHeight="1" s="122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5.75" customHeight="1" s="122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5.75" customHeight="1" s="122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5.75" customHeight="1" s="122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5.75" customHeight="1" s="122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5.75" customHeight="1" s="122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5.75" customHeight="1" s="122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5.75" customHeight="1" s="122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5.75" customHeight="1" s="122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5.75" customHeight="1" s="122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5.75" customHeight="1" s="122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5.75" customHeight="1" s="122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5.75" customHeight="1" s="122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5.75" customHeight="1" s="122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5.75" customHeight="1" s="122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5.75" customHeight="1" s="122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5.75" customHeight="1" s="122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5.75" customHeight="1" s="122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5.75" customHeight="1" s="122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5.75" customHeight="1" s="122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5.75" customHeight="1" s="122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5.75" customHeight="1" s="122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5.75" customHeight="1" s="122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5.75" customHeight="1" s="122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5.75" customHeight="1" s="122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5.75" customHeight="1" s="122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5.75" customHeight="1" s="122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5.75" customHeight="1" s="122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5.75" customHeight="1" s="122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5.75" customHeight="1" s="122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5.75" customHeight="1" s="122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5.75" customHeight="1" s="122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5.75" customHeight="1" s="122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5.75" customHeight="1" s="122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5.75" customHeight="1" s="122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5.75" customHeight="1" s="122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5.75" customHeight="1" s="122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5.75" customHeight="1" s="122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5.75" customHeight="1" s="122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5.75" customHeight="1" s="122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5.75" customHeight="1" s="122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5.75" customHeight="1" s="122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5.75" customHeight="1" s="122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5.75" customHeight="1" s="122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5.75" customHeight="1" s="122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5.75" customHeight="1" s="122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5.75" customHeight="1" s="122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5.75" customHeight="1" s="122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5.75" customHeight="1" s="122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5.75" customHeight="1" s="122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5.75" customHeight="1" s="122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5.75" customHeight="1" s="122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5.75" customHeight="1" s="122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5.75" customHeight="1" s="122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5.75" customHeight="1" s="122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5.75" customHeight="1" s="122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5.75" customHeight="1" s="122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5.75" customHeight="1" s="122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5.75" customHeight="1" s="122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5.75" customHeight="1" s="122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5.75" customHeight="1" s="122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5.75" customHeight="1" s="122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5.75" customHeight="1" s="122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5.75" customHeight="1" s="122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5.75" customHeight="1" s="122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5.75" customHeight="1" s="122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5.75" customHeight="1" s="122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5.75" customHeight="1" s="122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5.75" customHeight="1" s="122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5.75" customHeight="1" s="122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5.75" customHeight="1" s="122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5.75" customHeight="1" s="122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5.75" customHeight="1" s="122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5.75" customHeight="1" s="122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5.75" customHeight="1" s="122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5.75" customHeight="1" s="122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5.75" customHeight="1" s="122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5.75" customHeight="1" s="122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5.75" customHeight="1" s="122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5.75" customHeight="1" s="122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5.75" customHeight="1" s="122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5.75" customHeight="1" s="122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5.75" customHeight="1" s="122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5.75" customHeight="1" s="122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5.75" customHeight="1" s="122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5.75" customHeight="1" s="122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5.75" customHeight="1" s="122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5.75" customHeight="1" s="122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5.75" customHeight="1" s="122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5.75" customHeight="1" s="122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5.75" customHeight="1" s="122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5.75" customHeight="1" s="122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5.75" customHeight="1" s="122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5.75" customHeight="1" s="122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5.75" customHeight="1" s="122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5.75" customHeight="1" s="122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5.75" customHeight="1" s="122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5.75" customHeight="1" s="122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5.75" customHeight="1" s="122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5.75" customHeight="1" s="122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5.75" customHeight="1" s="122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5.75" customHeight="1" s="122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5.75" customHeight="1" s="122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5.75" customHeight="1" s="122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5.75" customHeight="1" s="122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5.75" customHeight="1" s="122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5.75" customHeight="1" s="122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5.75" customHeight="1" s="122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5.75" customHeight="1" s="122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5.75" customHeight="1" s="122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5.75" customHeight="1" s="122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5.75" customHeight="1" s="122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5.75" customHeight="1" s="122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5.75" customHeight="1" s="122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5.75" customHeight="1" s="122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5.75" customHeight="1" s="122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5.75" customHeight="1" s="122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5.75" customHeight="1" s="122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5.75" customHeight="1" s="122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5.75" customHeight="1" s="122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5.75" customHeight="1" s="122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5.75" customHeight="1" s="122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5.75" customHeight="1" s="122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5.75" customHeight="1" s="122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5.75" customHeight="1" s="122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5.75" customHeight="1" s="122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5.75" customHeight="1" s="122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5.75" customHeight="1" s="122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5.75" customHeight="1" s="122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5.75" customHeight="1" s="122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5.75" customHeight="1" s="122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5.75" customHeight="1" s="122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5.75" customHeight="1" s="122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5.75" customHeight="1" s="122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5.75" customHeight="1" s="122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5.75" customHeight="1" s="122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5.75" customHeight="1" s="122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5.75" customHeight="1" s="122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5.75" customHeight="1" s="122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5.75" customHeight="1" s="122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5.75" customHeight="1" s="122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5.75" customHeight="1" s="122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5.75" customHeight="1" s="122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5.75" customHeight="1" s="122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5.75" customHeight="1" s="122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5.75" customHeight="1" s="122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5.75" customHeight="1" s="122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5.75" customHeight="1" s="122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5.75" customHeight="1" s="122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5.75" customHeight="1" s="122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5.75" customHeight="1" s="122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5.75" customHeight="1" s="122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5.75" customHeight="1" s="122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5.75" customHeight="1" s="122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5.75" customHeight="1" s="122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5.75" customHeight="1" s="122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5.75" customHeight="1" s="122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5.75" customHeight="1" s="122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5.75" customHeight="1" s="122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5.75" customHeight="1" s="122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5.75" customHeight="1" s="122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5.75" customHeight="1" s="122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5.75" customHeight="1" s="122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5.75" customHeight="1" s="122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5.75" customHeight="1" s="122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5.75" customHeight="1" s="122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5.75" customHeight="1" s="122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5.75" customHeight="1" s="122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5.75" customHeight="1" s="122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5.75" customHeight="1" s="122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5.75" customHeight="1" s="122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5.75" customHeight="1" s="122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5.75" customHeight="1" s="122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5.75" customHeight="1" s="122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5.75" customHeight="1" s="122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5.75" customHeight="1" s="122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5.75" customHeight="1" s="122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5.75" customHeight="1" s="122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5.75" customHeight="1" s="122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5.75" customHeight="1" s="122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5.75" customHeight="1" s="122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5.75" customHeight="1" s="122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5.75" customHeight="1" s="122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5.75" customHeight="1" s="122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5.75" customHeight="1" s="122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5.75" customHeight="1" s="122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5.75" customHeight="1" s="122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5.75" customHeight="1" s="122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5.75" customHeight="1" s="122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5.75" customHeight="1" s="122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5.75" customHeight="1" s="122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5.75" customHeight="1" s="122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5.75" customHeight="1" s="122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5.75" customHeight="1" s="122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5.75" customHeight="1" s="122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5.75" customHeight="1" s="122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5.75" customHeight="1" s="122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5.75" customHeight="1" s="122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5.75" customHeight="1" s="122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5.75" customHeight="1" s="122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5.75" customHeight="1" s="122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5.75" customHeight="1" s="122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5.75" customHeight="1" s="122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5.75" customHeight="1" s="122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5.75" customHeight="1" s="122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5.75" customHeight="1" s="122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5.75" customHeight="1" s="122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5.75" customHeight="1" s="122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5.75" customHeight="1" s="122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5.75" customHeight="1" s="122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5.75" customHeight="1" s="122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5.75" customHeight="1" s="122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5.75" customHeight="1" s="122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5.75" customHeight="1" s="122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5.75" customHeight="1" s="122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5.75" customHeight="1" s="122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5.75" customHeight="1" s="122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5.75" customHeight="1" s="122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5.75" customHeight="1" s="122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5.75" customHeight="1" s="122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5.75" customHeight="1" s="122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5.75" customHeight="1" s="122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5.75" customHeight="1" s="122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5.75" customHeight="1" s="122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5.75" customHeight="1" s="122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5.75" customHeight="1" s="122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5.75" customHeight="1" s="122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5.75" customHeight="1" s="122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5.75" customHeight="1" s="122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5.75" customHeight="1" s="122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5.75" customHeight="1" s="122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5.75" customHeight="1" s="122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5.75" customHeight="1" s="122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5.75" customHeight="1" s="122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5.75" customHeight="1" s="122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5.75" customHeight="1" s="122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5.75" customHeight="1" s="122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5.75" customHeight="1" s="122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5.75" customHeight="1" s="122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5.75" customHeight="1" s="122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5.75" customHeight="1" s="122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5.75" customHeight="1" s="122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5.75" customHeight="1" s="122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5.75" customHeight="1" s="122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5.75" customHeight="1" s="122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5.75" customHeight="1" s="122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5.75" customHeight="1" s="122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5.75" customHeight="1" s="122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5.75" customHeight="1" s="122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5.75" customHeight="1" s="122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5.75" customHeight="1" s="122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5.75" customHeight="1" s="122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5.75" customHeight="1" s="122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5.75" customHeight="1" s="122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5.75" customHeight="1" s="122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5.75" customHeight="1" s="122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5.75" customHeight="1" s="122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5.75" customHeight="1" s="122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5.75" customHeight="1" s="122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5.75" customHeight="1" s="122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5.75" customHeight="1" s="122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5.75" customHeight="1" s="122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5.75" customHeight="1" s="122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5.75" customHeight="1" s="122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5.75" customHeight="1" s="122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5.75" customHeight="1" s="122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5.75" customHeight="1" s="122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5.75" customHeight="1" s="122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5.75" customHeight="1" s="122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5.75" customHeight="1" s="122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5.75" customHeight="1" s="122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 s="122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 s="122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 s="122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 s="122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 s="122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 s="122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 s="122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 s="122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 s="122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 s="122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 s="122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 s="122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 s="122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 s="122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 s="122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 s="122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 s="122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 s="122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 s="122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 s="122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 s="122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 s="122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 s="122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 s="122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 s="122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 s="122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 s="122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 s="122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 s="122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 s="122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 s="122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 s="122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 s="122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 s="122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 s="122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 s="122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 s="122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 s="122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 s="122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 s="122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 s="122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 s="122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 s="122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 s="122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 s="122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 s="122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 s="122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 s="122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 s="122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 s="122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 s="122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 s="122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 s="122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 s="122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 s="122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 s="122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 s="122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 s="122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 s="122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 s="122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 s="122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 s="122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 s="122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 s="122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 s="122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 s="122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 s="122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 s="122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 s="122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 s="122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 s="122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 s="122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 s="122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 s="122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 s="122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 s="122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 s="122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 s="122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 s="122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 s="122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 s="122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 s="122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 s="122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 s="122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 s="122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 s="122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 s="122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 s="122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 s="122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 s="122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 s="122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 s="122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 s="122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 s="122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 s="122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 s="122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 s="122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 s="122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 s="122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 s="122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 s="122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 s="122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 s="122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 s="122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 s="122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 s="122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 s="122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 s="122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 s="122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 s="122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 s="122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 s="122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 s="122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 s="122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 s="122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 s="122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 s="122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 s="122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 s="122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 s="122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 s="122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 s="122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 s="122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 s="122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 s="122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 s="122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 s="122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 s="122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 s="122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 s="122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 s="122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 s="122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 s="122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 s="122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 s="122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 s="122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 s="122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 s="122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 s="122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 s="122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 s="122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 s="122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 s="122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 s="122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 s="122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 s="122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 s="122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 s="122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 s="122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 s="122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 s="122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 s="122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 s="122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 s="122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 s="122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 s="122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 s="122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 s="122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 s="122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 s="122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 s="122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 s="122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 s="122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 s="122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 s="122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 s="122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 s="122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 s="122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 s="122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 s="122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 s="122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 s="122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 s="122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 s="122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 s="122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 s="122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 s="122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 s="122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 s="122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 s="122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 s="122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 s="122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 s="122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 s="122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 s="122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 s="122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 s="122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 s="122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 s="122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 s="122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 s="122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 s="122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 s="122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 s="122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 s="122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 s="122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 s="122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 s="122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 s="122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 s="122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 s="122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 s="122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 s="122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 s="122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 s="122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 s="122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 s="122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 s="122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 s="122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 s="122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 s="122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 s="122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 s="122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 s="122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 s="122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 s="122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 s="122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 s="122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 s="122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 s="122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 s="122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 s="122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 s="122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 s="122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 s="122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 s="122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 s="122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 s="122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 s="122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 s="122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 s="122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 s="122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 s="122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 s="122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 s="122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 s="122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 s="122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 s="122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 s="122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 s="122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 s="122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 s="122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 s="122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 s="122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 s="122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 s="122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 s="122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 s="122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 s="122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 s="122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 s="122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 s="122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 s="122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 s="122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 s="122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 s="122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 s="122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 s="122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 s="122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 s="122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 s="122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 s="122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 s="122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 s="122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 s="122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 s="122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 s="122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 s="122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 s="122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 s="122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 s="122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 s="122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 s="122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 s="122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 s="122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 s="122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 s="122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 s="122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 s="122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 s="122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 s="122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 s="122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 s="122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 s="122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 s="122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 s="122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 s="122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 s="122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 s="122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 s="122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 s="122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 s="122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 s="122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 s="122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 s="122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 s="122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 s="122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 s="122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 s="122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 s="122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 s="122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 s="122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 s="122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 s="122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 s="122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 s="122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 s="122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 s="122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 s="122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 s="122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 s="122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 s="122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 s="122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 s="122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 s="122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 s="122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 s="122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 s="122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 s="122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 s="122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 s="122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 s="122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 s="122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 s="122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 s="122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 s="122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 s="122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 s="122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 s="122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 s="122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 s="122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 s="122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 s="122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 s="122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 s="122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 s="122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 s="122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 s="122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 s="122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 s="122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 s="122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 s="122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 s="122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 s="122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 s="122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 s="122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 s="122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 s="122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 s="122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 s="122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 s="122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 s="122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 s="122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 s="122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 s="122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 s="122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 s="122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 s="122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 s="122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 s="122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 s="122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 s="122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 s="122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 s="122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 s="122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 s="122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 s="122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 s="122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 s="122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 s="122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 s="122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 s="122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 s="122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 s="122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 s="122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 s="122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 s="122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 s="122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 s="122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 s="122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 s="122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 s="122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 s="122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 s="122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 s="122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 s="122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 s="122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 s="122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 s="122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 s="122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 s="122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 s="122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 s="122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 s="122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 s="122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 s="122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 s="122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 s="122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 s="122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 s="122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 s="122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 s="122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 s="122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 s="122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 s="122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 s="122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 s="122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 s="122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 s="122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 s="122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 s="122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 s="122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 s="122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 s="122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 s="122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 s="122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 s="122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 s="122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 s="122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 s="122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 s="122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 s="122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 s="122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 s="122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 s="122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 s="122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 s="122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 s="122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 s="122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 s="122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 s="122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 s="122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 s="122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 s="122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 s="122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 s="122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 s="122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 s="122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 s="122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 s="122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 s="122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 s="122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 s="122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 s="122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 s="122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 s="122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 s="122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 s="122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 s="122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 s="122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 s="122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 s="122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 s="122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 s="122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 s="122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 s="122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 s="122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 s="122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 s="122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 s="122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 s="122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 s="122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 s="122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 s="122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 s="122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 s="122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 s="122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 s="122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 s="122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 s="122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 s="122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 s="122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 s="122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 s="122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 s="122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 s="122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 s="122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 s="122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 s="122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 s="122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 s="122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 s="122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 s="122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 s="122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 s="122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 s="122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 s="122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 s="122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 s="122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 s="122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 s="122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 s="122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 s="122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 s="122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 s="122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 s="122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 s="122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6">
    <mergeCell ref="B3:J3"/>
    <mergeCell ref="B20:D20"/>
    <mergeCell ref="B22:J22"/>
    <mergeCell ref="B1:J1"/>
    <mergeCell ref="B39:D39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99CC"/>
    <outlinePr summaryBelow="1" summaryRight="1"/>
    <pageSetUpPr fitToPage="0"/>
  </sheetPr>
  <dimension ref="A1:Z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121" min="1" max="1"/>
    <col width="5" customWidth="1" style="121" min="2" max="2"/>
    <col width="16" customWidth="1" style="121" min="3" max="3"/>
    <col width="12" customWidth="1" style="121" min="4" max="4"/>
    <col width="20" customWidth="1" style="121" min="5" max="6"/>
    <col width="12" customWidth="1" style="121" min="7" max="7"/>
    <col width="22" customWidth="1" style="121" min="8" max="10"/>
    <col width="13" customWidth="1" style="121" min="11" max="11"/>
    <col width="22" customWidth="1" style="121" min="12" max="12"/>
  </cols>
  <sheetData>
    <row r="1" ht="36" customHeight="1" s="122">
      <c r="A1" s="121" t="n"/>
      <c r="B1" s="161">
        <f>"DASHBOARD HARIAN — "&amp;'MASTER DATA'!H2</f>
        <v/>
      </c>
      <c r="C1" s="124" t="n"/>
      <c r="D1" s="124" t="n"/>
      <c r="E1" s="124" t="n"/>
      <c r="F1" s="124" t="n"/>
      <c r="G1" s="124" t="n"/>
      <c r="H1" s="124" t="n"/>
      <c r="I1" s="124" t="n"/>
      <c r="J1" s="124" t="n"/>
      <c r="K1" s="124" t="n"/>
      <c r="L1" s="124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15.75" customHeight="1" s="122">
      <c r="A2" s="121" t="n"/>
      <c r="B2" s="162" t="inlineStr">
        <is>
          <t>Tanggal dan hari dihitung otomatis sesuai periode. Baris hari yang tidak ada di bulan aktif otomatis dikosongkan.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1" t="n"/>
      <c r="N2" s="121" t="n"/>
      <c r="O2" s="121" t="n"/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25.5" customHeight="1" s="122">
      <c r="A3" s="121" t="n"/>
      <c r="B3" s="163" t="inlineStr">
        <is>
          <t>📊  REKAP HARIAN — RUPIAH (Rp)</t>
        </is>
      </c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37.5" customHeight="1" s="122">
      <c r="A4" s="121" t="n"/>
      <c r="B4" s="131" t="inlineStr">
        <is>
          <t>No</t>
        </is>
      </c>
      <c r="C4" s="131" t="inlineStr">
        <is>
          <t>Tanggal</t>
        </is>
      </c>
      <c r="D4" s="131" t="inlineStr">
        <is>
          <t>Hari</t>
        </is>
      </c>
      <c r="E4" s="131" t="inlineStr">
        <is>
          <t>Target Harian</t>
        </is>
      </c>
      <c r="F4" s="131" t="inlineStr">
        <is>
          <t>Pencapaian
Harian</t>
        </is>
      </c>
      <c r="G4" s="131" t="inlineStr">
        <is>
          <t>% Harian</t>
        </is>
      </c>
      <c r="H4" s="131" t="inlineStr">
        <is>
          <t>Status</t>
        </is>
      </c>
      <c r="I4" s="131" t="inlineStr">
        <is>
          <t>Kumulatif Target</t>
        </is>
      </c>
      <c r="J4" s="131" t="inlineStr">
        <is>
          <t>Kumulatif Capaian</t>
        </is>
      </c>
      <c r="K4" s="131" t="inlineStr">
        <is>
          <t>% Kumulatif</t>
        </is>
      </c>
      <c r="L4" s="131" t="inlineStr">
        <is>
          <t>Gap Kumulatif</t>
        </is>
      </c>
      <c r="M4" s="121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19.5" customHeight="1" s="122">
      <c r="A5" s="121" t="n"/>
      <c r="B5" s="143" t="n">
        <v>1</v>
      </c>
      <c r="C5" s="178">
        <f>IFERROR(IF(1&gt;'MASTER DATA'!I2,"",DATE('MASTER DATA'!F2,'MASTER DATA'!D2,1)),"")</f>
        <v/>
      </c>
      <c r="D5" s="143">
        <f>IF(C5="","",TEXT(C5,"DDDD"))</f>
        <v/>
      </c>
      <c r="E5" s="169">
        <f>IF(C5="","",IFERROR(SUM('MASTER DATA'!J5:J19),0))</f>
        <v/>
      </c>
      <c r="F5" s="144">
        <f>IF(C5="","",IFERROR(SUMIF('INPUT HARIAN'!C4:C503,C5,'INPUT HARIAN'!F4:F503),0))</f>
        <v/>
      </c>
      <c r="G5" s="170">
        <f>IFERROR(IF(C5="","",IF(E5=0,"",F5/E5)),"")</f>
        <v/>
      </c>
      <c r="H5" s="143">
        <f>IF(C5="","",IF(F5=0,"—",IF(G5&gt;=1,"✅ TERCAPAI",IF(G5&gt;=0.5,"⚠ MENUJU TARGET","❌ BELUM TERCAPAI"))))</f>
        <v/>
      </c>
      <c r="I5" s="144">
        <f>IFERROR(IF(C5="","",SUM(E5)),"")</f>
        <v/>
      </c>
      <c r="J5" s="144">
        <f>IFERROR(IF(C5="","",SUM(F5)),"")</f>
        <v/>
      </c>
      <c r="K5" s="170">
        <f>IFERROR(IF(C5="","",IF(I5=0,"",J5/I5)),"")</f>
        <v/>
      </c>
      <c r="L5" s="144">
        <f>IFERROR(IF(C5="","",I5-J5),"")</f>
        <v/>
      </c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19.5" customHeight="1" s="122">
      <c r="A6" s="121" t="n"/>
      <c r="B6" s="133" t="n">
        <v>2</v>
      </c>
      <c r="C6" s="179">
        <f>IFERROR(IF(2&gt;'MASTER DATA'!I2,"",DATE('MASTER DATA'!F2,'MASTER DATA'!D2,2)),"")</f>
        <v/>
      </c>
      <c r="D6" s="133">
        <f>IF(C6="","",TEXT(C6,"DDDD"))</f>
        <v/>
      </c>
      <c r="E6" s="165">
        <f>IF(C6="","",IFERROR(SUM('MASTER DATA'!J5:J19),0))</f>
        <v/>
      </c>
      <c r="F6" s="139">
        <f>IF(C6="","",IFERROR(SUMIF('INPUT HARIAN'!C4:C503,C6,'INPUT HARIAN'!F4:F503),0))</f>
        <v/>
      </c>
      <c r="G6" s="166">
        <f>IFERROR(IF(C6="","",IF(E6=0,"",F6/E6)),"")</f>
        <v/>
      </c>
      <c r="H6" s="133">
        <f>IF(C6="","",IF(F6=0,"—",IF(G6&gt;=1,"✅ TERCAPAI",IF(G6&gt;=0.5,"⚠ MENUJU TARGET","❌ BELUM TERCAPAI"))))</f>
        <v/>
      </c>
      <c r="I6" s="139">
        <f>IFERROR(IF(C6="","",SUM(E5:E6)),"")</f>
        <v/>
      </c>
      <c r="J6" s="139">
        <f>IFERROR(IF(C6="","",SUM(F5:F6)),"")</f>
        <v/>
      </c>
      <c r="K6" s="166">
        <f>IFERROR(IF(C6="","",IF(I6=0,"",J6/I6)),"")</f>
        <v/>
      </c>
      <c r="L6" s="139">
        <f>IFERROR(IF(C6="","",I6-J6),"")</f>
        <v/>
      </c>
      <c r="M6" s="121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19.5" customHeight="1" s="122">
      <c r="A7" s="121" t="n"/>
      <c r="B7" s="143" t="n">
        <v>3</v>
      </c>
      <c r="C7" s="178">
        <f>IFERROR(IF(3&gt;'MASTER DATA'!I2,"",DATE('MASTER DATA'!F2,'MASTER DATA'!D2,3)),"")</f>
        <v/>
      </c>
      <c r="D7" s="143">
        <f>IF(C7="","",TEXT(C7,"DDDD"))</f>
        <v/>
      </c>
      <c r="E7" s="169">
        <f>IF(C7="","",IFERROR(SUM('MASTER DATA'!J5:J19),0))</f>
        <v/>
      </c>
      <c r="F7" s="144">
        <f>IF(C7="","",IFERROR(SUMIF('INPUT HARIAN'!C4:C503,C7,'INPUT HARIAN'!F4:F503),0))</f>
        <v/>
      </c>
      <c r="G7" s="170">
        <f>IFERROR(IF(C7="","",IF(E7=0,"",F7/E7)),"")</f>
        <v/>
      </c>
      <c r="H7" s="143">
        <f>IF(C7="","",IF(F7=0,"—",IF(G7&gt;=1,"✅ TERCAPAI",IF(G7&gt;=0.5,"⚠ MENUJU TARGET","❌ BELUM TERCAPAI"))))</f>
        <v/>
      </c>
      <c r="I7" s="144">
        <f>IFERROR(IF(C7="","",SUM(E5:E7)),"")</f>
        <v/>
      </c>
      <c r="J7" s="144">
        <f>IFERROR(IF(C7="","",SUM(F5:F7)),"")</f>
        <v/>
      </c>
      <c r="K7" s="170">
        <f>IFERROR(IF(C7="","",IF(I7=0,"",J7/I7)),"")</f>
        <v/>
      </c>
      <c r="L7" s="144">
        <f>IFERROR(IF(C7="","",I7-J7),"")</f>
        <v/>
      </c>
      <c r="M7" s="121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19.5" customHeight="1" s="122">
      <c r="A8" s="121" t="n"/>
      <c r="B8" s="133" t="n">
        <v>4</v>
      </c>
      <c r="C8" s="179">
        <f>IFERROR(IF(4&gt;'MASTER DATA'!I2,"",DATE('MASTER DATA'!F2,'MASTER DATA'!D2,4)),"")</f>
        <v/>
      </c>
      <c r="D8" s="133">
        <f>IF(C8="","",TEXT(C8,"DDDD"))</f>
        <v/>
      </c>
      <c r="E8" s="165">
        <f>IF(C8="","",IFERROR(SUM('MASTER DATA'!J5:J19),0))</f>
        <v/>
      </c>
      <c r="F8" s="139">
        <f>IF(C8="","",IFERROR(SUMIF('INPUT HARIAN'!C4:C503,C8,'INPUT HARIAN'!F4:F503),0))</f>
        <v/>
      </c>
      <c r="G8" s="166">
        <f>IFERROR(IF(C8="","",IF(E8=0,"",F8/E8)),"")</f>
        <v/>
      </c>
      <c r="H8" s="133">
        <f>IF(C8="","",IF(F8=0,"—",IF(G8&gt;=1,"✅ TERCAPAI",IF(G8&gt;=0.5,"⚠ MENUJU TARGET","❌ BELUM TERCAPAI"))))</f>
        <v/>
      </c>
      <c r="I8" s="139">
        <f>IFERROR(IF(C8="","",SUM(E5:E8)),"")</f>
        <v/>
      </c>
      <c r="J8" s="139">
        <f>IFERROR(IF(C8="","",SUM(F5:F8)),"")</f>
        <v/>
      </c>
      <c r="K8" s="166">
        <f>IFERROR(IF(C8="","",IF(I8=0,"",J8/I8)),"")</f>
        <v/>
      </c>
      <c r="L8" s="139">
        <f>IFERROR(IF(C8="","",I8-J8),"")</f>
        <v/>
      </c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19.5" customHeight="1" s="122">
      <c r="A9" s="121" t="n"/>
      <c r="B9" s="143" t="n">
        <v>5</v>
      </c>
      <c r="C9" s="178">
        <f>IFERROR(IF(5&gt;'MASTER DATA'!I2,"",DATE('MASTER DATA'!F2,'MASTER DATA'!D2,5)),"")</f>
        <v/>
      </c>
      <c r="D9" s="143">
        <f>IF(C9="","",TEXT(C9,"DDDD"))</f>
        <v/>
      </c>
      <c r="E9" s="169">
        <f>IF(C9="","",IFERROR(SUM('MASTER DATA'!J5:J19),0))</f>
        <v/>
      </c>
      <c r="F9" s="144">
        <f>IF(C9="","",IFERROR(SUMIF('INPUT HARIAN'!C4:C503,C9,'INPUT HARIAN'!F4:F503),0))</f>
        <v/>
      </c>
      <c r="G9" s="170">
        <f>IFERROR(IF(C9="","",IF(E9=0,"",F9/E9)),"")</f>
        <v/>
      </c>
      <c r="H9" s="143">
        <f>IF(C9="","",IF(F9=0,"—",IF(G9&gt;=1,"✅ TERCAPAI",IF(G9&gt;=0.5,"⚠ MENUJU TARGET","❌ BELUM TERCAPAI"))))</f>
        <v/>
      </c>
      <c r="I9" s="144">
        <f>IFERROR(IF(C9="","",SUM(E5:E9)),"")</f>
        <v/>
      </c>
      <c r="J9" s="144">
        <f>IFERROR(IF(C9="","",SUM(F5:F9)),"")</f>
        <v/>
      </c>
      <c r="K9" s="170">
        <f>IFERROR(IF(C9="","",IF(I9=0,"",J9/I9)),"")</f>
        <v/>
      </c>
      <c r="L9" s="144">
        <f>IFERROR(IF(C9="","",I9-J9),"")</f>
        <v/>
      </c>
      <c r="M9" s="121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19.5" customHeight="1" s="122">
      <c r="A10" s="121" t="n"/>
      <c r="B10" s="133" t="n">
        <v>6</v>
      </c>
      <c r="C10" s="179">
        <f>IFERROR(IF(6&gt;'MASTER DATA'!I2,"",DATE('MASTER DATA'!F2,'MASTER DATA'!D2,6)),"")</f>
        <v/>
      </c>
      <c r="D10" s="133">
        <f>IF(C10="","",TEXT(C10,"DDDD"))</f>
        <v/>
      </c>
      <c r="E10" s="165">
        <f>IF(C10="","",IFERROR(SUM('MASTER DATA'!J5:J19),0))</f>
        <v/>
      </c>
      <c r="F10" s="139">
        <f>IF(C10="","",IFERROR(SUMIF('INPUT HARIAN'!C4:C503,C10,'INPUT HARIAN'!F4:F503),0))</f>
        <v/>
      </c>
      <c r="G10" s="166">
        <f>IFERROR(IF(C10="","",IF(E10=0,"",F10/E10)),"")</f>
        <v/>
      </c>
      <c r="H10" s="133">
        <f>IF(C10="","",IF(F10=0,"—",IF(G10&gt;=1,"✅ TERCAPAI",IF(G10&gt;=0.5,"⚠ MENUJU TARGET","❌ BELUM TERCAPAI"))))</f>
        <v/>
      </c>
      <c r="I10" s="139">
        <f>IFERROR(IF(C10="","",SUM(E5:E10)),"")</f>
        <v/>
      </c>
      <c r="J10" s="139">
        <f>IFERROR(IF(C10="","",SUM(F5:F10)),"")</f>
        <v/>
      </c>
      <c r="K10" s="166">
        <f>IFERROR(IF(C10="","",IF(I10=0,"",J10/I10)),"")</f>
        <v/>
      </c>
      <c r="L10" s="139">
        <f>IFERROR(IF(C10="","",I10-J10),"")</f>
        <v/>
      </c>
      <c r="M10" s="121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19.5" customHeight="1" s="122">
      <c r="A11" s="121" t="n"/>
      <c r="B11" s="143" t="n">
        <v>7</v>
      </c>
      <c r="C11" s="178">
        <f>IFERROR(IF(7&gt;'MASTER DATA'!I2,"",DATE('MASTER DATA'!F2,'MASTER DATA'!D2,7)),"")</f>
        <v/>
      </c>
      <c r="D11" s="143">
        <f>IF(C11="","",TEXT(C11,"DDDD"))</f>
        <v/>
      </c>
      <c r="E11" s="169">
        <f>IF(C11="","",IFERROR(SUM('MASTER DATA'!J5:J19),0))</f>
        <v/>
      </c>
      <c r="F11" s="144">
        <f>IF(C11="","",IFERROR(SUMIF('INPUT HARIAN'!C4:C503,C11,'INPUT HARIAN'!F4:F503),0))</f>
        <v/>
      </c>
      <c r="G11" s="170">
        <f>IFERROR(IF(C11="","",IF(E11=0,"",F11/E11)),"")</f>
        <v/>
      </c>
      <c r="H11" s="143">
        <f>IF(C11="","",IF(F11=0,"—",IF(G11&gt;=1,"✅ TERCAPAI",IF(G11&gt;=0.5,"⚠ MENUJU TARGET","❌ BELUM TERCAPAI"))))</f>
        <v/>
      </c>
      <c r="I11" s="144">
        <f>IFERROR(IF(C11="","",SUM(E5:E11)),"")</f>
        <v/>
      </c>
      <c r="J11" s="144">
        <f>IFERROR(IF(C11="","",SUM(F5:F11)),"")</f>
        <v/>
      </c>
      <c r="K11" s="170">
        <f>IFERROR(IF(C11="","",IF(I11=0,"",J11/I11)),"")</f>
        <v/>
      </c>
      <c r="L11" s="144">
        <f>IFERROR(IF(C11="","",I11-J11),"")</f>
        <v/>
      </c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19.5" customHeight="1" s="122">
      <c r="A12" s="121" t="n"/>
      <c r="B12" s="133" t="n">
        <v>8</v>
      </c>
      <c r="C12" s="179">
        <f>IFERROR(IF(8&gt;'MASTER DATA'!I2,"",DATE('MASTER DATA'!F2,'MASTER DATA'!D2,8)),"")</f>
        <v/>
      </c>
      <c r="D12" s="133">
        <f>IF(C12="","",TEXT(C12,"DDDD"))</f>
        <v/>
      </c>
      <c r="E12" s="165">
        <f>IF(C12="","",IFERROR(SUM('MASTER DATA'!J5:J19),0))</f>
        <v/>
      </c>
      <c r="F12" s="139">
        <f>IF(C12="","",IFERROR(SUMIF('INPUT HARIAN'!C4:C503,C12,'INPUT HARIAN'!F4:F503),0))</f>
        <v/>
      </c>
      <c r="G12" s="166">
        <f>IFERROR(IF(C12="","",IF(E12=0,"",F12/E12)),"")</f>
        <v/>
      </c>
      <c r="H12" s="133">
        <f>IF(C12="","",IF(F12=0,"—",IF(G12&gt;=1,"✅ TERCAPAI",IF(G12&gt;=0.5,"⚠ MENUJU TARGET","❌ BELUM TERCAPAI"))))</f>
        <v/>
      </c>
      <c r="I12" s="139">
        <f>IFERROR(IF(C12="","",SUM(E5:E12)),"")</f>
        <v/>
      </c>
      <c r="J12" s="139">
        <f>IFERROR(IF(C12="","",SUM(F5:F12)),"")</f>
        <v/>
      </c>
      <c r="K12" s="166">
        <f>IFERROR(IF(C12="","",IF(I12=0,"",J12/I12)),"")</f>
        <v/>
      </c>
      <c r="L12" s="139">
        <f>IFERROR(IF(C12="","",I12-J12),"")</f>
        <v/>
      </c>
      <c r="M12" s="121" t="n"/>
      <c r="N12" s="121" t="n"/>
      <c r="O12" s="121" t="n"/>
      <c r="P12" s="121" t="n"/>
      <c r="Q12" s="121" t="n"/>
      <c r="R12" s="121" t="n"/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19.5" customHeight="1" s="122">
      <c r="A13" s="121" t="n"/>
      <c r="B13" s="143" t="n">
        <v>9</v>
      </c>
      <c r="C13" s="178">
        <f>IFERROR(IF(9&gt;'MASTER DATA'!I2,"",DATE('MASTER DATA'!F2,'MASTER DATA'!D2,9)),"")</f>
        <v/>
      </c>
      <c r="D13" s="143">
        <f>IF(C13="","",TEXT(C13,"DDDD"))</f>
        <v/>
      </c>
      <c r="E13" s="169">
        <f>IF(C13="","",IFERROR(SUM('MASTER DATA'!J5:J19),0))</f>
        <v/>
      </c>
      <c r="F13" s="144">
        <f>IF(C13="","",IFERROR(SUMIF('INPUT HARIAN'!C4:C503,C13,'INPUT HARIAN'!F4:F503),0))</f>
        <v/>
      </c>
      <c r="G13" s="170">
        <f>IFERROR(IF(C13="","",IF(E13=0,"",F13/E13)),"")</f>
        <v/>
      </c>
      <c r="H13" s="143">
        <f>IF(C13="","",IF(F13=0,"—",IF(G13&gt;=1,"✅ TERCAPAI",IF(G13&gt;=0.5,"⚠ MENUJU TARGET","❌ BELUM TERCAPAI"))))</f>
        <v/>
      </c>
      <c r="I13" s="144">
        <f>IFERROR(IF(C13="","",SUM(E5:E13)),"")</f>
        <v/>
      </c>
      <c r="J13" s="144">
        <f>IFERROR(IF(C13="","",SUM(F5:F13)),"")</f>
        <v/>
      </c>
      <c r="K13" s="170">
        <f>IFERROR(IF(C13="","",IF(I13=0,"",J13/I13)),"")</f>
        <v/>
      </c>
      <c r="L13" s="144">
        <f>IFERROR(IF(C13="","",I13-J13),"")</f>
        <v/>
      </c>
      <c r="M13" s="121" t="n"/>
      <c r="N13" s="121" t="n"/>
      <c r="O13" s="121" t="n"/>
      <c r="P13" s="121" t="n"/>
      <c r="Q13" s="121" t="n"/>
      <c r="R13" s="121" t="n"/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19.5" customHeight="1" s="122">
      <c r="A14" s="121" t="n"/>
      <c r="B14" s="133" t="n">
        <v>10</v>
      </c>
      <c r="C14" s="179">
        <f>IFERROR(IF(10&gt;'MASTER DATA'!I2,"",DATE('MASTER DATA'!F2,'MASTER DATA'!D2,10)),"")</f>
        <v/>
      </c>
      <c r="D14" s="133">
        <f>IF(C14="","",TEXT(C14,"DDDD"))</f>
        <v/>
      </c>
      <c r="E14" s="165">
        <f>IF(C14="","",IFERROR(SUM('MASTER DATA'!J5:J19),0))</f>
        <v/>
      </c>
      <c r="F14" s="139">
        <f>IF(C14="","",IFERROR(SUMIF('INPUT HARIAN'!C4:C503,C14,'INPUT HARIAN'!F4:F503),0))</f>
        <v/>
      </c>
      <c r="G14" s="166">
        <f>IFERROR(IF(C14="","",IF(E14=0,"",F14/E14)),"")</f>
        <v/>
      </c>
      <c r="H14" s="133">
        <f>IF(C14="","",IF(F14=0,"—",IF(G14&gt;=1,"✅ TERCAPAI",IF(G14&gt;=0.5,"⚠ MENUJU TARGET","❌ BELUM TERCAPAI"))))</f>
        <v/>
      </c>
      <c r="I14" s="139">
        <f>IFERROR(IF(C14="","",SUM(E5:E14)),"")</f>
        <v/>
      </c>
      <c r="J14" s="139">
        <f>IFERROR(IF(C14="","",SUM(F5:F14)),"")</f>
        <v/>
      </c>
      <c r="K14" s="166">
        <f>IFERROR(IF(C14="","",IF(I14=0,"",J14/I14)),"")</f>
        <v/>
      </c>
      <c r="L14" s="139">
        <f>IFERROR(IF(C14="","",I14-J14),"")</f>
        <v/>
      </c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19.5" customHeight="1" s="122">
      <c r="A15" s="121" t="n"/>
      <c r="B15" s="143" t="n">
        <v>11</v>
      </c>
      <c r="C15" s="178">
        <f>IFERROR(IF(11&gt;'MASTER DATA'!I2,"",DATE('MASTER DATA'!F2,'MASTER DATA'!D2,11)),"")</f>
        <v/>
      </c>
      <c r="D15" s="143">
        <f>IF(C15="","",TEXT(C15,"DDDD"))</f>
        <v/>
      </c>
      <c r="E15" s="169">
        <f>IF(C15="","",IFERROR(SUM('MASTER DATA'!J5:J19),0))</f>
        <v/>
      </c>
      <c r="F15" s="144">
        <f>IF(C15="","",IFERROR(SUMIF('INPUT HARIAN'!C4:C503,C15,'INPUT HARIAN'!F4:F503),0))</f>
        <v/>
      </c>
      <c r="G15" s="170">
        <f>IFERROR(IF(C15="","",IF(E15=0,"",F15/E15)),"")</f>
        <v/>
      </c>
      <c r="H15" s="143">
        <f>IF(C15="","",IF(F15=0,"—",IF(G15&gt;=1,"✅ TERCAPAI",IF(G15&gt;=0.5,"⚠ MENUJU TARGET","❌ BELUM TERCAPAI"))))</f>
        <v/>
      </c>
      <c r="I15" s="144">
        <f>IFERROR(IF(C15="","",SUM(E5:E15)),"")</f>
        <v/>
      </c>
      <c r="J15" s="144">
        <f>IFERROR(IF(C15="","",SUM(F5:F15)),"")</f>
        <v/>
      </c>
      <c r="K15" s="170">
        <f>IFERROR(IF(C15="","",IF(I15=0,"",J15/I15)),"")</f>
        <v/>
      </c>
      <c r="L15" s="144">
        <f>IFERROR(IF(C15="","",I15-J15),"")</f>
        <v/>
      </c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19.5" customHeight="1" s="122">
      <c r="A16" s="121" t="n"/>
      <c r="B16" s="133" t="n">
        <v>12</v>
      </c>
      <c r="C16" s="179">
        <f>IFERROR(IF(12&gt;'MASTER DATA'!I2,"",DATE('MASTER DATA'!F2,'MASTER DATA'!D2,12)),"")</f>
        <v/>
      </c>
      <c r="D16" s="133">
        <f>IF(C16="","",TEXT(C16,"DDDD"))</f>
        <v/>
      </c>
      <c r="E16" s="165">
        <f>IF(C16="","",IFERROR(SUM('MASTER DATA'!J5:J19),0))</f>
        <v/>
      </c>
      <c r="F16" s="139">
        <f>IF(C16="","",IFERROR(SUMIF('INPUT HARIAN'!C4:C503,C16,'INPUT HARIAN'!F4:F503),0))</f>
        <v/>
      </c>
      <c r="G16" s="166">
        <f>IFERROR(IF(C16="","",IF(E16=0,"",F16/E16)),"")</f>
        <v/>
      </c>
      <c r="H16" s="133">
        <f>IF(C16="","",IF(F16=0,"—",IF(G16&gt;=1,"✅ TERCAPAI",IF(G16&gt;=0.5,"⚠ MENUJU TARGET","❌ BELUM TERCAPAI"))))</f>
        <v/>
      </c>
      <c r="I16" s="139">
        <f>IFERROR(IF(C16="","",SUM(E5:E16)),"")</f>
        <v/>
      </c>
      <c r="J16" s="139">
        <f>IFERROR(IF(C16="","",SUM(F5:F16)),"")</f>
        <v/>
      </c>
      <c r="K16" s="166">
        <f>IFERROR(IF(C16="","",IF(I16=0,"",J16/I16)),"")</f>
        <v/>
      </c>
      <c r="L16" s="139">
        <f>IFERROR(IF(C16="","",I16-J16),"")</f>
        <v/>
      </c>
      <c r="M16" s="121" t="n"/>
      <c r="N16" s="121" t="n"/>
      <c r="O16" s="121" t="n"/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19.5" customHeight="1" s="122">
      <c r="A17" s="121" t="n"/>
      <c r="B17" s="143" t="n">
        <v>13</v>
      </c>
      <c r="C17" s="178">
        <f>IFERROR(IF(13&gt;'MASTER DATA'!I2,"",DATE('MASTER DATA'!F2,'MASTER DATA'!D2,13)),"")</f>
        <v/>
      </c>
      <c r="D17" s="143">
        <f>IF(C17="","",TEXT(C17,"DDDD"))</f>
        <v/>
      </c>
      <c r="E17" s="169">
        <f>IF(C17="","",IFERROR(SUM('MASTER DATA'!J5:J19),0))</f>
        <v/>
      </c>
      <c r="F17" s="144">
        <f>IF(C17="","",IFERROR(SUMIF('INPUT HARIAN'!C4:C503,C17,'INPUT HARIAN'!F4:F503),0))</f>
        <v/>
      </c>
      <c r="G17" s="170">
        <f>IFERROR(IF(C17="","",IF(E17=0,"",F17/E17)),"")</f>
        <v/>
      </c>
      <c r="H17" s="143">
        <f>IF(C17="","",IF(F17=0,"—",IF(G17&gt;=1,"✅ TERCAPAI",IF(G17&gt;=0.5,"⚠ MENUJU TARGET","❌ BELUM TERCAPAI"))))</f>
        <v/>
      </c>
      <c r="I17" s="144">
        <f>IFERROR(IF(C17="","",SUM(E5:E17)),"")</f>
        <v/>
      </c>
      <c r="J17" s="144">
        <f>IFERROR(IF(C17="","",SUM(F5:F17)),"")</f>
        <v/>
      </c>
      <c r="K17" s="170">
        <f>IFERROR(IF(C17="","",IF(I17=0,"",J17/I17)),"")</f>
        <v/>
      </c>
      <c r="L17" s="144">
        <f>IFERROR(IF(C17="","",I17-J17),"")</f>
        <v/>
      </c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19.5" customHeight="1" s="122">
      <c r="A18" s="121" t="n"/>
      <c r="B18" s="133" t="n">
        <v>14</v>
      </c>
      <c r="C18" s="179">
        <f>IFERROR(IF(14&gt;'MASTER DATA'!I2,"",DATE('MASTER DATA'!F2,'MASTER DATA'!D2,14)),"")</f>
        <v/>
      </c>
      <c r="D18" s="133">
        <f>IF(C18="","",TEXT(C18,"DDDD"))</f>
        <v/>
      </c>
      <c r="E18" s="165">
        <f>IF(C18="","",IFERROR(SUM('MASTER DATA'!J5:J19),0))</f>
        <v/>
      </c>
      <c r="F18" s="139">
        <f>IF(C18="","",IFERROR(SUMIF('INPUT HARIAN'!C4:C503,C18,'INPUT HARIAN'!F4:F503),0))</f>
        <v/>
      </c>
      <c r="G18" s="166">
        <f>IFERROR(IF(C18="","",IF(E18=0,"",F18/E18)),"")</f>
        <v/>
      </c>
      <c r="H18" s="133">
        <f>IF(C18="","",IF(F18=0,"—",IF(G18&gt;=1,"✅ TERCAPAI",IF(G18&gt;=0.5,"⚠ MENUJU TARGET","❌ BELUM TERCAPAI"))))</f>
        <v/>
      </c>
      <c r="I18" s="139">
        <f>IFERROR(IF(C18="","",SUM(E5:E18)),"")</f>
        <v/>
      </c>
      <c r="J18" s="139">
        <f>IFERROR(IF(C18="","",SUM(F5:F18)),"")</f>
        <v/>
      </c>
      <c r="K18" s="166">
        <f>IFERROR(IF(C18="","",IF(I18=0,"",J18/I18)),"")</f>
        <v/>
      </c>
      <c r="L18" s="139">
        <f>IFERROR(IF(C18="","",I18-J18),"")</f>
        <v/>
      </c>
      <c r="M18" s="121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19.5" customHeight="1" s="122">
      <c r="A19" s="121" t="n"/>
      <c r="B19" s="143" t="n">
        <v>15</v>
      </c>
      <c r="C19" s="178">
        <f>IFERROR(IF(15&gt;'MASTER DATA'!I2,"",DATE('MASTER DATA'!F2,'MASTER DATA'!D2,15)),"")</f>
        <v/>
      </c>
      <c r="D19" s="143">
        <f>IF(C19="","",TEXT(C19,"DDDD"))</f>
        <v/>
      </c>
      <c r="E19" s="169">
        <f>IF(C19="","",IFERROR(SUM('MASTER DATA'!J5:J19),0))</f>
        <v/>
      </c>
      <c r="F19" s="144">
        <f>IF(C19="","",IFERROR(SUMIF('INPUT HARIAN'!C4:C503,C19,'INPUT HARIAN'!F4:F503),0))</f>
        <v/>
      </c>
      <c r="G19" s="170">
        <f>IFERROR(IF(C19="","",IF(E19=0,"",F19/E19)),"")</f>
        <v/>
      </c>
      <c r="H19" s="143">
        <f>IF(C19="","",IF(F19=0,"—",IF(G19&gt;=1,"✅ TERCAPAI",IF(G19&gt;=0.5,"⚠ MENUJU TARGET","❌ BELUM TERCAPAI"))))</f>
        <v/>
      </c>
      <c r="I19" s="144">
        <f>IFERROR(IF(C19="","",SUM(E5:E19)),"")</f>
        <v/>
      </c>
      <c r="J19" s="144">
        <f>IFERROR(IF(C19="","",SUM(F5:F19)),"")</f>
        <v/>
      </c>
      <c r="K19" s="170">
        <f>IFERROR(IF(C19="","",IF(I19=0,"",J19/I19)),"")</f>
        <v/>
      </c>
      <c r="L19" s="144">
        <f>IFERROR(IF(C19="","",I19-J19),"")</f>
        <v/>
      </c>
      <c r="M19" s="121" t="n"/>
      <c r="N19" s="121" t="n"/>
      <c r="O19" s="121" t="n"/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19.5" customHeight="1" s="122">
      <c r="A20" s="121" t="n"/>
      <c r="B20" s="133" t="n">
        <v>16</v>
      </c>
      <c r="C20" s="179">
        <f>IFERROR(IF(16&gt;'MASTER DATA'!I2,"",DATE('MASTER DATA'!F2,'MASTER DATA'!D2,16)),"")</f>
        <v/>
      </c>
      <c r="D20" s="133">
        <f>IF(C20="","",TEXT(C20,"DDDD"))</f>
        <v/>
      </c>
      <c r="E20" s="165">
        <f>IF(C20="","",IFERROR(SUM('MASTER DATA'!J5:J19),0))</f>
        <v/>
      </c>
      <c r="F20" s="139">
        <f>IF(C20="","",IFERROR(SUMIF('INPUT HARIAN'!C4:C503,C20,'INPUT HARIAN'!F4:F503),0))</f>
        <v/>
      </c>
      <c r="G20" s="166">
        <f>IFERROR(IF(C20="","",IF(E20=0,"",F20/E20)),"")</f>
        <v/>
      </c>
      <c r="H20" s="133">
        <f>IF(C20="","",IF(F20=0,"—",IF(G20&gt;=1,"✅ TERCAPAI",IF(G20&gt;=0.5,"⚠ MENUJU TARGET","❌ BELUM TERCAPAI"))))</f>
        <v/>
      </c>
      <c r="I20" s="139">
        <f>IFERROR(IF(C20="","",SUM(E5:E20)),"")</f>
        <v/>
      </c>
      <c r="J20" s="139">
        <f>IFERROR(IF(C20="","",SUM(F5:F20)),"")</f>
        <v/>
      </c>
      <c r="K20" s="166">
        <f>IFERROR(IF(C20="","",IF(I20=0,"",J20/I20)),"")</f>
        <v/>
      </c>
      <c r="L20" s="139">
        <f>IFERROR(IF(C20="","",I20-J20),"")</f>
        <v/>
      </c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19.5" customHeight="1" s="122">
      <c r="A21" s="121" t="n"/>
      <c r="B21" s="143" t="n">
        <v>17</v>
      </c>
      <c r="C21" s="178">
        <f>IFERROR(IF(17&gt;'MASTER DATA'!I2,"",DATE('MASTER DATA'!F2,'MASTER DATA'!D2,17)),"")</f>
        <v/>
      </c>
      <c r="D21" s="143">
        <f>IF(C21="","",TEXT(C21,"DDDD"))</f>
        <v/>
      </c>
      <c r="E21" s="169">
        <f>IF(C21="","",IFERROR(SUM('MASTER DATA'!J5:J19),0))</f>
        <v/>
      </c>
      <c r="F21" s="144">
        <f>IF(C21="","",IFERROR(SUMIF('INPUT HARIAN'!C4:C503,C21,'INPUT HARIAN'!F4:F503),0))</f>
        <v/>
      </c>
      <c r="G21" s="170">
        <f>IFERROR(IF(C21="","",IF(E21=0,"",F21/E21)),"")</f>
        <v/>
      </c>
      <c r="H21" s="143">
        <f>IF(C21="","",IF(F21=0,"—",IF(G21&gt;=1,"✅ TERCAPAI",IF(G21&gt;=0.5,"⚠ MENUJU TARGET","❌ BELUM TERCAPAI"))))</f>
        <v/>
      </c>
      <c r="I21" s="144">
        <f>IFERROR(IF(C21="","",SUM(E5:E21)),"")</f>
        <v/>
      </c>
      <c r="J21" s="144">
        <f>IFERROR(IF(C21="","",SUM(F5:F21)),"")</f>
        <v/>
      </c>
      <c r="K21" s="170">
        <f>IFERROR(IF(C21="","",IF(I21=0,"",J21/I21)),"")</f>
        <v/>
      </c>
      <c r="L21" s="144">
        <f>IFERROR(IF(C21="","",I21-J21),"")</f>
        <v/>
      </c>
      <c r="M21" s="121" t="n"/>
      <c r="N21" s="121" t="n"/>
      <c r="O21" s="121" t="n"/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19.5" customHeight="1" s="122">
      <c r="A22" s="121" t="n"/>
      <c r="B22" s="133" t="n">
        <v>18</v>
      </c>
      <c r="C22" s="179">
        <f>IFERROR(IF(18&gt;'MASTER DATA'!I2,"",DATE('MASTER DATA'!F2,'MASTER DATA'!D2,18)),"")</f>
        <v/>
      </c>
      <c r="D22" s="133">
        <f>IF(C22="","",TEXT(C22,"DDDD"))</f>
        <v/>
      </c>
      <c r="E22" s="165">
        <f>IF(C22="","",IFERROR(SUM('MASTER DATA'!J5:J19),0))</f>
        <v/>
      </c>
      <c r="F22" s="139">
        <f>IF(C22="","",IFERROR(SUMIF('INPUT HARIAN'!C4:C503,C22,'INPUT HARIAN'!F4:F503),0))</f>
        <v/>
      </c>
      <c r="G22" s="166">
        <f>IFERROR(IF(C22="","",IF(E22=0,"",F22/E22)),"")</f>
        <v/>
      </c>
      <c r="H22" s="133">
        <f>IF(C22="","",IF(F22=0,"—",IF(G22&gt;=1,"✅ TERCAPAI",IF(G22&gt;=0.5,"⚠ MENUJU TARGET","❌ BELUM TERCAPAI"))))</f>
        <v/>
      </c>
      <c r="I22" s="139">
        <f>IFERROR(IF(C22="","",SUM(E5:E22)),"")</f>
        <v/>
      </c>
      <c r="J22" s="139">
        <f>IFERROR(IF(C22="","",SUM(F5:F22)),"")</f>
        <v/>
      </c>
      <c r="K22" s="166">
        <f>IFERROR(IF(C22="","",IF(I22=0,"",J22/I22)),"")</f>
        <v/>
      </c>
      <c r="L22" s="139">
        <f>IFERROR(IF(C22="","",I22-J22),"")</f>
        <v/>
      </c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19.5" customHeight="1" s="122">
      <c r="A23" s="121" t="n"/>
      <c r="B23" s="143" t="n">
        <v>19</v>
      </c>
      <c r="C23" s="178">
        <f>IFERROR(IF(19&gt;'MASTER DATA'!I2,"",DATE('MASTER DATA'!F2,'MASTER DATA'!D2,19)),"")</f>
        <v/>
      </c>
      <c r="D23" s="143">
        <f>IF(C23="","",TEXT(C23,"DDDD"))</f>
        <v/>
      </c>
      <c r="E23" s="169">
        <f>IF(C23="","",IFERROR(SUM('MASTER DATA'!J5:J19),0))</f>
        <v/>
      </c>
      <c r="F23" s="144">
        <f>IF(C23="","",IFERROR(SUMIF('INPUT HARIAN'!C4:C503,C23,'INPUT HARIAN'!F4:F503),0))</f>
        <v/>
      </c>
      <c r="G23" s="170">
        <f>IFERROR(IF(C23="","",IF(E23=0,"",F23/E23)),"")</f>
        <v/>
      </c>
      <c r="H23" s="143">
        <f>IF(C23="","",IF(F23=0,"—",IF(G23&gt;=1,"✅ TERCAPAI",IF(G23&gt;=0.5,"⚠ MENUJU TARGET","❌ BELUM TERCAPAI"))))</f>
        <v/>
      </c>
      <c r="I23" s="144">
        <f>IFERROR(IF(C23="","",SUM(E5:E23)),"")</f>
        <v/>
      </c>
      <c r="J23" s="144">
        <f>IFERROR(IF(C23="","",SUM(F5:F23)),"")</f>
        <v/>
      </c>
      <c r="K23" s="170">
        <f>IFERROR(IF(C23="","",IF(I23=0,"",J23/I23)),"")</f>
        <v/>
      </c>
      <c r="L23" s="144">
        <f>IFERROR(IF(C23="","",I23-J23),"")</f>
        <v/>
      </c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19.5" customHeight="1" s="122">
      <c r="A24" s="121" t="n"/>
      <c r="B24" s="133" t="n">
        <v>20</v>
      </c>
      <c r="C24" s="179">
        <f>IFERROR(IF(20&gt;'MASTER DATA'!I2,"",DATE('MASTER DATA'!F2,'MASTER DATA'!D2,20)),"")</f>
        <v/>
      </c>
      <c r="D24" s="133">
        <f>IF(C24="","",TEXT(C24,"DDDD"))</f>
        <v/>
      </c>
      <c r="E24" s="165">
        <f>IF(C24="","",IFERROR(SUM('MASTER DATA'!J5:J19),0))</f>
        <v/>
      </c>
      <c r="F24" s="139">
        <f>IF(C24="","",IFERROR(SUMIF('INPUT HARIAN'!C4:C503,C24,'INPUT HARIAN'!F4:F503),0))</f>
        <v/>
      </c>
      <c r="G24" s="166">
        <f>IFERROR(IF(C24="","",IF(E24=0,"",F24/E24)),"")</f>
        <v/>
      </c>
      <c r="H24" s="133">
        <f>IF(C24="","",IF(F24=0,"—",IF(G24&gt;=1,"✅ TERCAPAI",IF(G24&gt;=0.5,"⚠ MENUJU TARGET","❌ BELUM TERCAPAI"))))</f>
        <v/>
      </c>
      <c r="I24" s="139">
        <f>IFERROR(IF(C24="","",SUM(E5:E24)),"")</f>
        <v/>
      </c>
      <c r="J24" s="139">
        <f>IFERROR(IF(C24="","",SUM(F5:F24)),"")</f>
        <v/>
      </c>
      <c r="K24" s="166">
        <f>IFERROR(IF(C24="","",IF(I24=0,"",J24/I24)),"")</f>
        <v/>
      </c>
      <c r="L24" s="139">
        <f>IFERROR(IF(C24="","",I24-J24),"")</f>
        <v/>
      </c>
      <c r="M24" s="121" t="n"/>
      <c r="N24" s="121" t="n"/>
      <c r="O24" s="121" t="n"/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19.5" customHeight="1" s="122">
      <c r="A25" s="121" t="n"/>
      <c r="B25" s="143" t="n">
        <v>21</v>
      </c>
      <c r="C25" s="178">
        <f>IFERROR(IF(21&gt;'MASTER DATA'!I2,"",DATE('MASTER DATA'!F2,'MASTER DATA'!D2,21)),"")</f>
        <v/>
      </c>
      <c r="D25" s="143">
        <f>IF(C25="","",TEXT(C25,"DDDD"))</f>
        <v/>
      </c>
      <c r="E25" s="169">
        <f>IF(C25="","",IFERROR(SUM('MASTER DATA'!J5:J19),0))</f>
        <v/>
      </c>
      <c r="F25" s="144">
        <f>IF(C25="","",IFERROR(SUMIF('INPUT HARIAN'!C4:C503,C25,'INPUT HARIAN'!F4:F503),0))</f>
        <v/>
      </c>
      <c r="G25" s="170">
        <f>IFERROR(IF(C25="","",IF(E25=0,"",F25/E25)),"")</f>
        <v/>
      </c>
      <c r="H25" s="143">
        <f>IF(C25="","",IF(F25=0,"—",IF(G25&gt;=1,"✅ TERCAPAI",IF(G25&gt;=0.5,"⚠ MENUJU TARGET","❌ BELUM TERCAPAI"))))</f>
        <v/>
      </c>
      <c r="I25" s="144">
        <f>IFERROR(IF(C25="","",SUM(E5:E25)),"")</f>
        <v/>
      </c>
      <c r="J25" s="144">
        <f>IFERROR(IF(C25="","",SUM(F5:F25)),"")</f>
        <v/>
      </c>
      <c r="K25" s="170">
        <f>IFERROR(IF(C25="","",IF(I25=0,"",J25/I25)),"")</f>
        <v/>
      </c>
      <c r="L25" s="144">
        <f>IFERROR(IF(C25="","",I25-J25),"")</f>
        <v/>
      </c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19.5" customHeight="1" s="122">
      <c r="A26" s="121" t="n"/>
      <c r="B26" s="133" t="n">
        <v>22</v>
      </c>
      <c r="C26" s="179">
        <f>IFERROR(IF(22&gt;'MASTER DATA'!I2,"",DATE('MASTER DATA'!F2,'MASTER DATA'!D2,22)),"")</f>
        <v/>
      </c>
      <c r="D26" s="133">
        <f>IF(C26="","",TEXT(C26,"DDDD"))</f>
        <v/>
      </c>
      <c r="E26" s="165">
        <f>IF(C26="","",IFERROR(SUM('MASTER DATA'!J5:J19),0))</f>
        <v/>
      </c>
      <c r="F26" s="139">
        <f>IF(C26="","",IFERROR(SUMIF('INPUT HARIAN'!C4:C503,C26,'INPUT HARIAN'!F4:F503),0))</f>
        <v/>
      </c>
      <c r="G26" s="166">
        <f>IFERROR(IF(C26="","",IF(E26=0,"",F26/E26)),"")</f>
        <v/>
      </c>
      <c r="H26" s="133">
        <f>IF(C26="","",IF(F26=0,"—",IF(G26&gt;=1,"✅ TERCAPAI",IF(G26&gt;=0.5,"⚠ MENUJU TARGET","❌ BELUM TERCAPAI"))))</f>
        <v/>
      </c>
      <c r="I26" s="139">
        <f>IFERROR(IF(C26="","",SUM(E5:E26)),"")</f>
        <v/>
      </c>
      <c r="J26" s="139">
        <f>IFERROR(IF(C26="","",SUM(F5:F26)),"")</f>
        <v/>
      </c>
      <c r="K26" s="166">
        <f>IFERROR(IF(C26="","",IF(I26=0,"",J26/I26)),"")</f>
        <v/>
      </c>
      <c r="L26" s="139">
        <f>IFERROR(IF(C26="","",I26-J26),"")</f>
        <v/>
      </c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19.5" customHeight="1" s="122">
      <c r="A27" s="121" t="n"/>
      <c r="B27" s="143" t="n">
        <v>23</v>
      </c>
      <c r="C27" s="178">
        <f>IFERROR(IF(23&gt;'MASTER DATA'!I2,"",DATE('MASTER DATA'!F2,'MASTER DATA'!D2,23)),"")</f>
        <v/>
      </c>
      <c r="D27" s="143">
        <f>IF(C27="","",TEXT(C27,"DDDD"))</f>
        <v/>
      </c>
      <c r="E27" s="169">
        <f>IF(C27="","",IFERROR(SUM('MASTER DATA'!J5:J19),0))</f>
        <v/>
      </c>
      <c r="F27" s="144">
        <f>IF(C27="","",IFERROR(SUMIF('INPUT HARIAN'!C4:C503,C27,'INPUT HARIAN'!F4:F503),0))</f>
        <v/>
      </c>
      <c r="G27" s="170">
        <f>IFERROR(IF(C27="","",IF(E27=0,"",F27/E27)),"")</f>
        <v/>
      </c>
      <c r="H27" s="143">
        <f>IF(C27="","",IF(F27=0,"—",IF(G27&gt;=1,"✅ TERCAPAI",IF(G27&gt;=0.5,"⚠ MENUJU TARGET","❌ BELUM TERCAPAI"))))</f>
        <v/>
      </c>
      <c r="I27" s="144">
        <f>IFERROR(IF(C27="","",SUM(E5:E27)),"")</f>
        <v/>
      </c>
      <c r="J27" s="144">
        <f>IFERROR(IF(C27="","",SUM(F5:F27)),"")</f>
        <v/>
      </c>
      <c r="K27" s="170">
        <f>IFERROR(IF(C27="","",IF(I27=0,"",J27/I27)),"")</f>
        <v/>
      </c>
      <c r="L27" s="144">
        <f>IFERROR(IF(C27="","",I27-J27),"")</f>
        <v/>
      </c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19.5" customHeight="1" s="122">
      <c r="A28" s="121" t="n"/>
      <c r="B28" s="133" t="n">
        <v>24</v>
      </c>
      <c r="C28" s="179">
        <f>IFERROR(IF(24&gt;'MASTER DATA'!I2,"",DATE('MASTER DATA'!F2,'MASTER DATA'!D2,24)),"")</f>
        <v/>
      </c>
      <c r="D28" s="133">
        <f>IF(C28="","",TEXT(C28,"DDDD"))</f>
        <v/>
      </c>
      <c r="E28" s="165">
        <f>IF(C28="","",IFERROR(SUM('MASTER DATA'!J5:J19),0))</f>
        <v/>
      </c>
      <c r="F28" s="139">
        <f>IF(C28="","",IFERROR(SUMIF('INPUT HARIAN'!C4:C503,C28,'INPUT HARIAN'!F4:F503),0))</f>
        <v/>
      </c>
      <c r="G28" s="166">
        <f>IFERROR(IF(C28="","",IF(E28=0,"",F28/E28)),"")</f>
        <v/>
      </c>
      <c r="H28" s="133">
        <f>IF(C28="","",IF(F28=0,"—",IF(G28&gt;=1,"✅ TERCAPAI",IF(G28&gt;=0.5,"⚠ MENUJU TARGET","❌ BELUM TERCAPAI"))))</f>
        <v/>
      </c>
      <c r="I28" s="139">
        <f>IFERROR(IF(C28="","",SUM(E5:E28)),"")</f>
        <v/>
      </c>
      <c r="J28" s="139">
        <f>IFERROR(IF(C28="","",SUM(F5:F28)),"")</f>
        <v/>
      </c>
      <c r="K28" s="166">
        <f>IFERROR(IF(C28="","",IF(I28=0,"",J28/I28)),"")</f>
        <v/>
      </c>
      <c r="L28" s="139">
        <f>IFERROR(IF(C28="","",I28-J28),"")</f>
        <v/>
      </c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19.5" customHeight="1" s="122">
      <c r="A29" s="121" t="n"/>
      <c r="B29" s="143" t="n">
        <v>25</v>
      </c>
      <c r="C29" s="178">
        <f>IFERROR(IF(25&gt;'MASTER DATA'!I2,"",DATE('MASTER DATA'!F2,'MASTER DATA'!D2,25)),"")</f>
        <v/>
      </c>
      <c r="D29" s="143">
        <f>IF(C29="","",TEXT(C29,"DDDD"))</f>
        <v/>
      </c>
      <c r="E29" s="169">
        <f>IF(C29="","",IFERROR(SUM('MASTER DATA'!J5:J19),0))</f>
        <v/>
      </c>
      <c r="F29" s="144">
        <f>IF(C29="","",IFERROR(SUMIF('INPUT HARIAN'!C4:C503,C29,'INPUT HARIAN'!F4:F503),0))</f>
        <v/>
      </c>
      <c r="G29" s="170">
        <f>IFERROR(IF(C29="","",IF(E29=0,"",F29/E29)),"")</f>
        <v/>
      </c>
      <c r="H29" s="143">
        <f>IF(C29="","",IF(F29=0,"—",IF(G29&gt;=1,"✅ TERCAPAI",IF(G29&gt;=0.5,"⚠ MENUJU TARGET","❌ BELUM TERCAPAI"))))</f>
        <v/>
      </c>
      <c r="I29" s="144">
        <f>IFERROR(IF(C29="","",SUM(E5:E29)),"")</f>
        <v/>
      </c>
      <c r="J29" s="144">
        <f>IFERROR(IF(C29="","",SUM(F5:F29)),"")</f>
        <v/>
      </c>
      <c r="K29" s="170">
        <f>IFERROR(IF(C29="","",IF(I29=0,"",J29/I29)),"")</f>
        <v/>
      </c>
      <c r="L29" s="144">
        <f>IFERROR(IF(C29="","",I29-J29),"")</f>
        <v/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19.5" customHeight="1" s="122">
      <c r="A30" s="121" t="n"/>
      <c r="B30" s="133" t="n">
        <v>26</v>
      </c>
      <c r="C30" s="179">
        <f>IFERROR(IF(26&gt;'MASTER DATA'!I2,"",DATE('MASTER DATA'!F2,'MASTER DATA'!D2,26)),"")</f>
        <v/>
      </c>
      <c r="D30" s="133">
        <f>IF(C30="","",TEXT(C30,"DDDD"))</f>
        <v/>
      </c>
      <c r="E30" s="165">
        <f>IF(C30="","",IFERROR(SUM('MASTER DATA'!J5:J19),0))</f>
        <v/>
      </c>
      <c r="F30" s="139">
        <f>IF(C30="","",IFERROR(SUMIF('INPUT HARIAN'!C4:C503,C30,'INPUT HARIAN'!F4:F503),0))</f>
        <v/>
      </c>
      <c r="G30" s="166">
        <f>IFERROR(IF(C30="","",IF(E30=0,"",F30/E30)),"")</f>
        <v/>
      </c>
      <c r="H30" s="133">
        <f>IF(C30="","",IF(F30=0,"—",IF(G30&gt;=1,"✅ TERCAPAI",IF(G30&gt;=0.5,"⚠ MENUJU TARGET","❌ BELUM TERCAPAI"))))</f>
        <v/>
      </c>
      <c r="I30" s="139">
        <f>IFERROR(IF(C30="","",SUM(E5:E30)),"")</f>
        <v/>
      </c>
      <c r="J30" s="139">
        <f>IFERROR(IF(C30="","",SUM(F5:F30)),"")</f>
        <v/>
      </c>
      <c r="K30" s="166">
        <f>IFERROR(IF(C30="","",IF(I30=0,"",J30/I30)),"")</f>
        <v/>
      </c>
      <c r="L30" s="139">
        <f>IFERROR(IF(C30="","",I30-J30),"")</f>
        <v/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19.5" customHeight="1" s="122">
      <c r="A31" s="121" t="n"/>
      <c r="B31" s="143" t="n">
        <v>27</v>
      </c>
      <c r="C31" s="178">
        <f>IFERROR(IF(27&gt;'MASTER DATA'!I2,"",DATE('MASTER DATA'!F2,'MASTER DATA'!D2,27)),"")</f>
        <v/>
      </c>
      <c r="D31" s="143">
        <f>IF(C31="","",TEXT(C31,"DDDD"))</f>
        <v/>
      </c>
      <c r="E31" s="169">
        <f>IF(C31="","",IFERROR(SUM('MASTER DATA'!J5:J19),0))</f>
        <v/>
      </c>
      <c r="F31" s="144">
        <f>IF(C31="","",IFERROR(SUMIF('INPUT HARIAN'!C4:C503,C31,'INPUT HARIAN'!F4:F503),0))</f>
        <v/>
      </c>
      <c r="G31" s="170">
        <f>IFERROR(IF(C31="","",IF(E31=0,"",F31/E31)),"")</f>
        <v/>
      </c>
      <c r="H31" s="143">
        <f>IF(C31="","",IF(F31=0,"—",IF(G31&gt;=1,"✅ TERCAPAI",IF(G31&gt;=0.5,"⚠ MENUJU TARGET","❌ BELUM TERCAPAI"))))</f>
        <v/>
      </c>
      <c r="I31" s="144">
        <f>IFERROR(IF(C31="","",SUM(E5:E31)),"")</f>
        <v/>
      </c>
      <c r="J31" s="144">
        <f>IFERROR(IF(C31="","",SUM(F5:F31)),"")</f>
        <v/>
      </c>
      <c r="K31" s="170">
        <f>IFERROR(IF(C31="","",IF(I31=0,"",J31/I31)),"")</f>
        <v/>
      </c>
      <c r="L31" s="144">
        <f>IFERROR(IF(C31="","",I31-J31),"")</f>
        <v/>
      </c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19.5" customHeight="1" s="122">
      <c r="A32" s="121" t="n"/>
      <c r="B32" s="133" t="n">
        <v>28</v>
      </c>
      <c r="C32" s="179">
        <f>IFERROR(IF(28&gt;'MASTER DATA'!I2,"",DATE('MASTER DATA'!F2,'MASTER DATA'!D2,28)),"")</f>
        <v/>
      </c>
      <c r="D32" s="133">
        <f>IF(C32="","",TEXT(C32,"DDDD"))</f>
        <v/>
      </c>
      <c r="E32" s="165">
        <f>IF(C32="","",IFERROR(SUM('MASTER DATA'!J5:J19),0))</f>
        <v/>
      </c>
      <c r="F32" s="139">
        <f>IF(C32="","",IFERROR(SUMIF('INPUT HARIAN'!C4:C503,C32,'INPUT HARIAN'!F4:F503),0))</f>
        <v/>
      </c>
      <c r="G32" s="166">
        <f>IFERROR(IF(C32="","",IF(E32=0,"",F32/E32)),"")</f>
        <v/>
      </c>
      <c r="H32" s="133">
        <f>IF(C32="","",IF(F32=0,"—",IF(G32&gt;=1,"✅ TERCAPAI",IF(G32&gt;=0.5,"⚠ MENUJU TARGET","❌ BELUM TERCAPAI"))))</f>
        <v/>
      </c>
      <c r="I32" s="139">
        <f>IFERROR(IF(C32="","",SUM(E5:E32)),"")</f>
        <v/>
      </c>
      <c r="J32" s="139">
        <f>IFERROR(IF(C32="","",SUM(F5:F32)),"")</f>
        <v/>
      </c>
      <c r="K32" s="166">
        <f>IFERROR(IF(C32="","",IF(I32=0,"",J32/I32)),"")</f>
        <v/>
      </c>
      <c r="L32" s="139">
        <f>IFERROR(IF(C32="","",I32-J32),"")</f>
        <v/>
      </c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19.5" customHeight="1" s="122">
      <c r="A33" s="121" t="n"/>
      <c r="B33" s="143" t="n">
        <v>29</v>
      </c>
      <c r="C33" s="178">
        <f>IFERROR(IF(29&gt;'MASTER DATA'!I2,"",DATE('MASTER DATA'!F2,'MASTER DATA'!D2,29)),"")</f>
        <v/>
      </c>
      <c r="D33" s="143">
        <f>IF(C33="","",TEXT(C33,"DDDD"))</f>
        <v/>
      </c>
      <c r="E33" s="169">
        <f>IF(C33="","",IFERROR(SUM('MASTER DATA'!J5:J19),0))</f>
        <v/>
      </c>
      <c r="F33" s="144">
        <f>IF(C33="","",IFERROR(SUMIF('INPUT HARIAN'!C4:C503,C33,'INPUT HARIAN'!F4:F503),0))</f>
        <v/>
      </c>
      <c r="G33" s="170">
        <f>IFERROR(IF(C33="","",IF(E33=0,"",F33/E33)),"")</f>
        <v/>
      </c>
      <c r="H33" s="143">
        <f>IF(C33="","",IF(F33=0,"—",IF(G33&gt;=1,"✅ TERCAPAI",IF(G33&gt;=0.5,"⚠ MENUJU TARGET","❌ BELUM TERCAPAI"))))</f>
        <v/>
      </c>
      <c r="I33" s="144">
        <f>IFERROR(IF(C33="","",SUM(E5:E33)),"")</f>
        <v/>
      </c>
      <c r="J33" s="144">
        <f>IFERROR(IF(C33="","",SUM(F5:F33)),"")</f>
        <v/>
      </c>
      <c r="K33" s="170">
        <f>IFERROR(IF(C33="","",IF(I33=0,"",J33/I33)),"")</f>
        <v/>
      </c>
      <c r="L33" s="144">
        <f>IFERROR(IF(C33="","",I33-J33),"")</f>
        <v/>
      </c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19.5" customHeight="1" s="122">
      <c r="A34" s="121" t="n"/>
      <c r="B34" s="133" t="n">
        <v>30</v>
      </c>
      <c r="C34" s="179">
        <f>IFERROR(IF(30&gt;'MASTER DATA'!I2,"",DATE('MASTER DATA'!F2,'MASTER DATA'!D2,30)),"")</f>
        <v/>
      </c>
      <c r="D34" s="133">
        <f>IF(C34="","",TEXT(C34,"DDDD"))</f>
        <v/>
      </c>
      <c r="E34" s="165">
        <f>IF(C34="","",IFERROR(SUM('MASTER DATA'!J5:J19),0))</f>
        <v/>
      </c>
      <c r="F34" s="139">
        <f>IF(C34="","",IFERROR(SUMIF('INPUT HARIAN'!C4:C503,C34,'INPUT HARIAN'!F4:F503),0))</f>
        <v/>
      </c>
      <c r="G34" s="166">
        <f>IFERROR(IF(C34="","",IF(E34=0,"",F34/E34)),"")</f>
        <v/>
      </c>
      <c r="H34" s="133">
        <f>IF(C34="","",IF(F34=0,"—",IF(G34&gt;=1,"✅ TERCAPAI",IF(G34&gt;=0.5,"⚠ MENUJU TARGET","❌ BELUM TERCAPAI"))))</f>
        <v/>
      </c>
      <c r="I34" s="139">
        <f>IFERROR(IF(C34="","",SUM(E5:E34)),"")</f>
        <v/>
      </c>
      <c r="J34" s="139">
        <f>IFERROR(IF(C34="","",SUM(F5:F34)),"")</f>
        <v/>
      </c>
      <c r="K34" s="166">
        <f>IFERROR(IF(C34="","",IF(I34=0,"",J34/I34)),"")</f>
        <v/>
      </c>
      <c r="L34" s="139">
        <f>IFERROR(IF(C34="","",I34-J34),"")</f>
        <v/>
      </c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19.5" customHeight="1" s="122">
      <c r="A35" s="121" t="n"/>
      <c r="B35" s="143" t="n">
        <v>31</v>
      </c>
      <c r="C35" s="178">
        <f>IFERROR(IF(31&gt;'MASTER DATA'!I2,"",DATE('MASTER DATA'!F2,'MASTER DATA'!D2,31)),"")</f>
        <v/>
      </c>
      <c r="D35" s="143">
        <f>IF(C35="","",TEXT(C35,"DDDD"))</f>
        <v/>
      </c>
      <c r="E35" s="169">
        <f>IF(C35="","",IFERROR(SUM('MASTER DATA'!J5:J19),0))</f>
        <v/>
      </c>
      <c r="F35" s="144">
        <f>IF(C35="","",IFERROR(SUMIF('INPUT HARIAN'!C4:C503,C35,'INPUT HARIAN'!F4:F503),0))</f>
        <v/>
      </c>
      <c r="G35" s="170">
        <f>IFERROR(IF(C35="","",IF(E35=0,"",F35/E35)),"")</f>
        <v/>
      </c>
      <c r="H35" s="143">
        <f>IF(C35="","",IF(F35=0,"—",IF(G35&gt;=1,"✅ TERCAPAI",IF(G35&gt;=0.5,"⚠ MENUJU TARGET","❌ BELUM TERCAPAI"))))</f>
        <v/>
      </c>
      <c r="I35" s="144">
        <f>IFERROR(IF(C35="","",SUM(E5:E35)),"")</f>
        <v/>
      </c>
      <c r="J35" s="144">
        <f>IFERROR(IF(C35="","",SUM(F5:F35)),"")</f>
        <v/>
      </c>
      <c r="K35" s="170">
        <f>IFERROR(IF(C35="","",IF(I35=0,"",J35/I35)),"")</f>
        <v/>
      </c>
      <c r="L35" s="144">
        <f>IFERROR(IF(C35="","",I35-J35),"")</f>
        <v/>
      </c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27.75" customHeight="1" s="122">
      <c r="A36" s="121" t="n"/>
      <c r="B36" s="172" t="inlineStr">
        <is>
          <t>TOTAL BULAN</t>
        </is>
      </c>
      <c r="C36" s="149" t="n"/>
      <c r="D36" s="149" t="n"/>
      <c r="E36" s="150">
        <f>IFERROR(SUM(E5:E35),"")</f>
        <v/>
      </c>
      <c r="F36" s="150">
        <f>IFERROR(SUM(F5:F35),"")</f>
        <v/>
      </c>
      <c r="G36" s="173">
        <f>IFERROR(F36/E36,"")</f>
        <v/>
      </c>
      <c r="H36" s="151" t="n"/>
      <c r="I36" s="151" t="n"/>
      <c r="J36" s="151" t="n"/>
      <c r="K36" s="151" t="n"/>
      <c r="L36" s="151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15.75" customHeight="1" s="122">
      <c r="A37" s="121" t="n"/>
      <c r="B37" s="121" t="n"/>
      <c r="C37" s="121" t="n"/>
      <c r="D37" s="121" t="n"/>
      <c r="E37" s="121" t="n"/>
      <c r="F37" s="121" t="n"/>
      <c r="G37" s="121" t="n"/>
      <c r="H37" s="121" t="n"/>
      <c r="I37" s="121" t="n"/>
      <c r="J37" s="121" t="n"/>
      <c r="K37" s="121" t="n"/>
      <c r="L37" s="121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25.5" customHeight="1" s="122">
      <c r="A38" s="121" t="n"/>
      <c r="B38" s="174" t="inlineStr">
        <is>
          <t>👥  REKAP HARIAN — USER / PESERTA</t>
        </is>
      </c>
      <c r="C38" s="124" t="n"/>
      <c r="D38" s="124" t="n"/>
      <c r="E38" s="124" t="n"/>
      <c r="F38" s="124" t="n"/>
      <c r="G38" s="124" t="n"/>
      <c r="H38" s="124" t="n"/>
      <c r="I38" s="124" t="n"/>
      <c r="J38" s="124" t="n"/>
      <c r="K38" s="124" t="n"/>
      <c r="L38" s="124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37.5" customHeight="1" s="122">
      <c r="A39" s="121" t="n"/>
      <c r="B39" s="175" t="inlineStr">
        <is>
          <t>No</t>
        </is>
      </c>
      <c r="C39" s="175" t="inlineStr">
        <is>
          <t>Tanggal</t>
        </is>
      </c>
      <c r="D39" s="175" t="inlineStr">
        <is>
          <t>Hari</t>
        </is>
      </c>
      <c r="E39" s="175" t="inlineStr">
        <is>
          <t>Target Harian</t>
        </is>
      </c>
      <c r="F39" s="175" t="inlineStr">
        <is>
          <t>Pencapaian
Harian</t>
        </is>
      </c>
      <c r="G39" s="175" t="inlineStr">
        <is>
          <t>% Harian</t>
        </is>
      </c>
      <c r="H39" s="175" t="inlineStr">
        <is>
          <t>Status</t>
        </is>
      </c>
      <c r="I39" s="175" t="inlineStr">
        <is>
          <t>Kumulatif Target</t>
        </is>
      </c>
      <c r="J39" s="175" t="inlineStr">
        <is>
          <t>Kumulatif Capaian</t>
        </is>
      </c>
      <c r="K39" s="175" t="inlineStr">
        <is>
          <t>% Kumulatif</t>
        </is>
      </c>
      <c r="L39" s="175" t="inlineStr">
        <is>
          <t>Gap Kumulatif</t>
        </is>
      </c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9.5" customHeight="1" s="122">
      <c r="A40" s="121" t="n"/>
      <c r="B40" s="143" t="n">
        <v>1</v>
      </c>
      <c r="C40" s="178">
        <f>IFERROR(IF(1&gt;'MASTER DATA'!I2,"",DATE('MASTER DATA'!F2,'MASTER DATA'!D2,1)),"")</f>
        <v/>
      </c>
      <c r="D40" s="143">
        <f>IF(C40="","",TEXT(C40,"DDDD"))</f>
        <v/>
      </c>
      <c r="E40" s="180">
        <f>IF(C40="","",IFERROR(SUM('MASTER DATA'!K5:K19),0))</f>
        <v/>
      </c>
      <c r="F40" s="181">
        <f>IF(C40="","",IFERROR(SUMIF('INPUT HARIAN'!C4:C503,C40,'INPUT HARIAN'!G4:G503),0))</f>
        <v/>
      </c>
      <c r="G40" s="170">
        <f>IFERROR(IF(C40="","",IF(E40=0,"",F40/E40)),"")</f>
        <v/>
      </c>
      <c r="H40" s="143">
        <f>IF(C40="","",IF(F40=0,"—",IF(G40&gt;=1,"✅ TERCAPAI",IF(G40&gt;=0.5,"⚠ MENUJU TARGET","❌ BELUM TERCAPAI"))))</f>
        <v/>
      </c>
      <c r="I40" s="145">
        <f>IFERROR(IF(C40="","",SUM(E40)),"")</f>
        <v/>
      </c>
      <c r="J40" s="181">
        <f>IFERROR(IF(C40="","",SUM(F40)),"")</f>
        <v/>
      </c>
      <c r="K40" s="170">
        <f>IFERROR(IF(C40="","",IF(I40=0,"",J40/I40)),"")</f>
        <v/>
      </c>
      <c r="L40" s="145">
        <f>IFERROR(IF(C40="","",I40-J40),"")</f>
        <v/>
      </c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9.5" customHeight="1" s="122">
      <c r="A41" s="121" t="n"/>
      <c r="B41" s="133" t="n">
        <v>2</v>
      </c>
      <c r="C41" s="179">
        <f>IFERROR(IF(2&gt;'MASTER DATA'!I2,"",DATE('MASTER DATA'!F2,'MASTER DATA'!D2,2)),"")</f>
        <v/>
      </c>
      <c r="D41" s="133">
        <f>IF(C41="","",TEXT(C41,"DDDD"))</f>
        <v/>
      </c>
      <c r="E41" s="182">
        <f>IF(C41="","",IFERROR(SUM('MASTER DATA'!K5:K19),0))</f>
        <v/>
      </c>
      <c r="F41" s="183">
        <f>IF(C41="","",IFERROR(SUMIF('INPUT HARIAN'!C4:C503,C41,'INPUT HARIAN'!G4:G503),0))</f>
        <v/>
      </c>
      <c r="G41" s="166">
        <f>IFERROR(IF(C41="","",IF(E41=0,"",F41/E41)),"")</f>
        <v/>
      </c>
      <c r="H41" s="133">
        <f>IF(C41="","",IF(F41=0,"—",IF(G41&gt;=1,"✅ TERCAPAI",IF(G41&gt;=0.5,"⚠ MENUJU TARGET","❌ BELUM TERCAPAI"))))</f>
        <v/>
      </c>
      <c r="I41" s="140">
        <f>IFERROR(IF(C41="","",SUM(E40:E41)),"")</f>
        <v/>
      </c>
      <c r="J41" s="183">
        <f>IFERROR(IF(C41="","",SUM(F40:F41)),"")</f>
        <v/>
      </c>
      <c r="K41" s="166">
        <f>IFERROR(IF(C41="","",IF(I41=0,"",J41/I41)),"")</f>
        <v/>
      </c>
      <c r="L41" s="140">
        <f>IFERROR(IF(C41="","",I41-J41),"")</f>
        <v/>
      </c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9.5" customHeight="1" s="122">
      <c r="A42" s="121" t="n"/>
      <c r="B42" s="143" t="n">
        <v>3</v>
      </c>
      <c r="C42" s="178">
        <f>IFERROR(IF(3&gt;'MASTER DATA'!I2,"",DATE('MASTER DATA'!F2,'MASTER DATA'!D2,3)),"")</f>
        <v/>
      </c>
      <c r="D42" s="143">
        <f>IF(C42="","",TEXT(C42,"DDDD"))</f>
        <v/>
      </c>
      <c r="E42" s="180">
        <f>IF(C42="","",IFERROR(SUM('MASTER DATA'!K5:K19),0))</f>
        <v/>
      </c>
      <c r="F42" s="181">
        <f>IF(C42="","",IFERROR(SUMIF('INPUT HARIAN'!C4:C503,C42,'INPUT HARIAN'!G4:G503),0))</f>
        <v/>
      </c>
      <c r="G42" s="170">
        <f>IFERROR(IF(C42="","",IF(E42=0,"",F42/E42)),"")</f>
        <v/>
      </c>
      <c r="H42" s="143">
        <f>IF(C42="","",IF(F42=0,"—",IF(G42&gt;=1,"✅ TERCAPAI",IF(G42&gt;=0.5,"⚠ MENUJU TARGET","❌ BELUM TERCAPAI"))))</f>
        <v/>
      </c>
      <c r="I42" s="145">
        <f>IFERROR(IF(C42="","",SUM(E40:E42)),"")</f>
        <v/>
      </c>
      <c r="J42" s="181">
        <f>IFERROR(IF(C42="","",SUM(F40:F42)),"")</f>
        <v/>
      </c>
      <c r="K42" s="170">
        <f>IFERROR(IF(C42="","",IF(I42=0,"",J42/I42)),"")</f>
        <v/>
      </c>
      <c r="L42" s="145">
        <f>IFERROR(IF(C42="","",I42-J42),"")</f>
        <v/>
      </c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9.5" customHeight="1" s="122">
      <c r="A43" s="121" t="n"/>
      <c r="B43" s="133" t="n">
        <v>4</v>
      </c>
      <c r="C43" s="179">
        <f>IFERROR(IF(4&gt;'MASTER DATA'!I2,"",DATE('MASTER DATA'!F2,'MASTER DATA'!D2,4)),"")</f>
        <v/>
      </c>
      <c r="D43" s="133">
        <f>IF(C43="","",TEXT(C43,"DDDD"))</f>
        <v/>
      </c>
      <c r="E43" s="182">
        <f>IF(C43="","",IFERROR(SUM('MASTER DATA'!K5:K19),0))</f>
        <v/>
      </c>
      <c r="F43" s="183">
        <f>IF(C43="","",IFERROR(SUMIF('INPUT HARIAN'!C4:C503,C43,'INPUT HARIAN'!G4:G503),0))</f>
        <v/>
      </c>
      <c r="G43" s="166">
        <f>IFERROR(IF(C43="","",IF(E43=0,"",F43/E43)),"")</f>
        <v/>
      </c>
      <c r="H43" s="133">
        <f>IF(C43="","",IF(F43=0,"—",IF(G43&gt;=1,"✅ TERCAPAI",IF(G43&gt;=0.5,"⚠ MENUJU TARGET","❌ BELUM TERCAPAI"))))</f>
        <v/>
      </c>
      <c r="I43" s="140">
        <f>IFERROR(IF(C43="","",SUM(E40:E43)),"")</f>
        <v/>
      </c>
      <c r="J43" s="183">
        <f>IFERROR(IF(C43="","",SUM(F40:F43)),"")</f>
        <v/>
      </c>
      <c r="K43" s="166">
        <f>IFERROR(IF(C43="","",IF(I43=0,"",J43/I43)),"")</f>
        <v/>
      </c>
      <c r="L43" s="140">
        <f>IFERROR(IF(C43="","",I43-J43),"")</f>
        <v/>
      </c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9.5" customHeight="1" s="122">
      <c r="A44" s="121" t="n"/>
      <c r="B44" s="143" t="n">
        <v>5</v>
      </c>
      <c r="C44" s="178">
        <f>IFERROR(IF(5&gt;'MASTER DATA'!I2,"",DATE('MASTER DATA'!F2,'MASTER DATA'!D2,5)),"")</f>
        <v/>
      </c>
      <c r="D44" s="143">
        <f>IF(C44="","",TEXT(C44,"DDDD"))</f>
        <v/>
      </c>
      <c r="E44" s="180">
        <f>IF(C44="","",IFERROR(SUM('MASTER DATA'!K5:K19),0))</f>
        <v/>
      </c>
      <c r="F44" s="181">
        <f>IF(C44="","",IFERROR(SUMIF('INPUT HARIAN'!C4:C503,C44,'INPUT HARIAN'!G4:G503),0))</f>
        <v/>
      </c>
      <c r="G44" s="170">
        <f>IFERROR(IF(C44="","",IF(E44=0,"",F44/E44)),"")</f>
        <v/>
      </c>
      <c r="H44" s="143">
        <f>IF(C44="","",IF(F44=0,"—",IF(G44&gt;=1,"✅ TERCAPAI",IF(G44&gt;=0.5,"⚠ MENUJU TARGET","❌ BELUM TERCAPAI"))))</f>
        <v/>
      </c>
      <c r="I44" s="145">
        <f>IFERROR(IF(C44="","",SUM(E40:E44)),"")</f>
        <v/>
      </c>
      <c r="J44" s="181">
        <f>IFERROR(IF(C44="","",SUM(F40:F44)),"")</f>
        <v/>
      </c>
      <c r="K44" s="170">
        <f>IFERROR(IF(C44="","",IF(I44=0,"",J44/I44)),"")</f>
        <v/>
      </c>
      <c r="L44" s="145">
        <f>IFERROR(IF(C44="","",I44-J44),"")</f>
        <v/>
      </c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9.5" customHeight="1" s="122">
      <c r="A45" s="121" t="n"/>
      <c r="B45" s="133" t="n">
        <v>6</v>
      </c>
      <c r="C45" s="179">
        <f>IFERROR(IF(6&gt;'MASTER DATA'!I2,"",DATE('MASTER DATA'!F2,'MASTER DATA'!D2,6)),"")</f>
        <v/>
      </c>
      <c r="D45" s="133">
        <f>IF(C45="","",TEXT(C45,"DDDD"))</f>
        <v/>
      </c>
      <c r="E45" s="182">
        <f>IF(C45="","",IFERROR(SUM('MASTER DATA'!K5:K19),0))</f>
        <v/>
      </c>
      <c r="F45" s="183">
        <f>IF(C45="","",IFERROR(SUMIF('INPUT HARIAN'!C4:C503,C45,'INPUT HARIAN'!G4:G503),0))</f>
        <v/>
      </c>
      <c r="G45" s="166">
        <f>IFERROR(IF(C45="","",IF(E45=0,"",F45/E45)),"")</f>
        <v/>
      </c>
      <c r="H45" s="133">
        <f>IF(C45="","",IF(F45=0,"—",IF(G45&gt;=1,"✅ TERCAPAI",IF(G45&gt;=0.5,"⚠ MENUJU TARGET","❌ BELUM TERCAPAI"))))</f>
        <v/>
      </c>
      <c r="I45" s="140">
        <f>IFERROR(IF(C45="","",SUM(E40:E45)),"")</f>
        <v/>
      </c>
      <c r="J45" s="183">
        <f>IFERROR(IF(C45="","",SUM(F40:F45)),"")</f>
        <v/>
      </c>
      <c r="K45" s="166">
        <f>IFERROR(IF(C45="","",IF(I45=0,"",J45/I45)),"")</f>
        <v/>
      </c>
      <c r="L45" s="140">
        <f>IFERROR(IF(C45="","",I45-J45),"")</f>
        <v/>
      </c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9.5" customHeight="1" s="122">
      <c r="A46" s="121" t="n"/>
      <c r="B46" s="143" t="n">
        <v>7</v>
      </c>
      <c r="C46" s="178">
        <f>IFERROR(IF(7&gt;'MASTER DATA'!I2,"",DATE('MASTER DATA'!F2,'MASTER DATA'!D2,7)),"")</f>
        <v/>
      </c>
      <c r="D46" s="143">
        <f>IF(C46="","",TEXT(C46,"DDDD"))</f>
        <v/>
      </c>
      <c r="E46" s="180">
        <f>IF(C46="","",IFERROR(SUM('MASTER DATA'!K5:K19),0))</f>
        <v/>
      </c>
      <c r="F46" s="181">
        <f>IF(C46="","",IFERROR(SUMIF('INPUT HARIAN'!C4:C503,C46,'INPUT HARIAN'!G4:G503),0))</f>
        <v/>
      </c>
      <c r="G46" s="170">
        <f>IFERROR(IF(C46="","",IF(E46=0,"",F46/E46)),"")</f>
        <v/>
      </c>
      <c r="H46" s="143">
        <f>IF(C46="","",IF(F46=0,"—",IF(G46&gt;=1,"✅ TERCAPAI",IF(G46&gt;=0.5,"⚠ MENUJU TARGET","❌ BELUM TERCAPAI"))))</f>
        <v/>
      </c>
      <c r="I46" s="145">
        <f>IFERROR(IF(C46="","",SUM(E40:E46)),"")</f>
        <v/>
      </c>
      <c r="J46" s="181">
        <f>IFERROR(IF(C46="","",SUM(F40:F46)),"")</f>
        <v/>
      </c>
      <c r="K46" s="170">
        <f>IFERROR(IF(C46="","",IF(I46=0,"",J46/I46)),"")</f>
        <v/>
      </c>
      <c r="L46" s="145">
        <f>IFERROR(IF(C46="","",I46-J46),"")</f>
        <v/>
      </c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9.5" customHeight="1" s="122">
      <c r="A47" s="121" t="n"/>
      <c r="B47" s="133" t="n">
        <v>8</v>
      </c>
      <c r="C47" s="179">
        <f>IFERROR(IF(8&gt;'MASTER DATA'!I2,"",DATE('MASTER DATA'!F2,'MASTER DATA'!D2,8)),"")</f>
        <v/>
      </c>
      <c r="D47" s="133">
        <f>IF(C47="","",TEXT(C47,"DDDD"))</f>
        <v/>
      </c>
      <c r="E47" s="182">
        <f>IF(C47="","",IFERROR(SUM('MASTER DATA'!K5:K19),0))</f>
        <v/>
      </c>
      <c r="F47" s="183">
        <f>IF(C47="","",IFERROR(SUMIF('INPUT HARIAN'!C4:C503,C47,'INPUT HARIAN'!G4:G503),0))</f>
        <v/>
      </c>
      <c r="G47" s="166">
        <f>IFERROR(IF(C47="","",IF(E47=0,"",F47/E47)),"")</f>
        <v/>
      </c>
      <c r="H47" s="133">
        <f>IF(C47="","",IF(F47=0,"—",IF(G47&gt;=1,"✅ TERCAPAI",IF(G47&gt;=0.5,"⚠ MENUJU TARGET","❌ BELUM TERCAPAI"))))</f>
        <v/>
      </c>
      <c r="I47" s="140">
        <f>IFERROR(IF(C47="","",SUM(E40:E47)),"")</f>
        <v/>
      </c>
      <c r="J47" s="183">
        <f>IFERROR(IF(C47="","",SUM(F40:F47)),"")</f>
        <v/>
      </c>
      <c r="K47" s="166">
        <f>IFERROR(IF(C47="","",IF(I47=0,"",J47/I47)),"")</f>
        <v/>
      </c>
      <c r="L47" s="140">
        <f>IFERROR(IF(C47="","",I47-J47),"")</f>
        <v/>
      </c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9.5" customHeight="1" s="122">
      <c r="A48" s="121" t="n"/>
      <c r="B48" s="143" t="n">
        <v>9</v>
      </c>
      <c r="C48" s="178">
        <f>IFERROR(IF(9&gt;'MASTER DATA'!I2,"",DATE('MASTER DATA'!F2,'MASTER DATA'!D2,9)),"")</f>
        <v/>
      </c>
      <c r="D48" s="143">
        <f>IF(C48="","",TEXT(C48,"DDDD"))</f>
        <v/>
      </c>
      <c r="E48" s="180">
        <f>IF(C48="","",IFERROR(SUM('MASTER DATA'!K5:K19),0))</f>
        <v/>
      </c>
      <c r="F48" s="181">
        <f>IF(C48="","",IFERROR(SUMIF('INPUT HARIAN'!C4:C503,C48,'INPUT HARIAN'!G4:G503),0))</f>
        <v/>
      </c>
      <c r="G48" s="170">
        <f>IFERROR(IF(C48="","",IF(E48=0,"",F48/E48)),"")</f>
        <v/>
      </c>
      <c r="H48" s="143">
        <f>IF(C48="","",IF(F48=0,"—",IF(G48&gt;=1,"✅ TERCAPAI",IF(G48&gt;=0.5,"⚠ MENUJU TARGET","❌ BELUM TERCAPAI"))))</f>
        <v/>
      </c>
      <c r="I48" s="145">
        <f>IFERROR(IF(C48="","",SUM(E40:E48)),"")</f>
        <v/>
      </c>
      <c r="J48" s="181">
        <f>IFERROR(IF(C48="","",SUM(F40:F48)),"")</f>
        <v/>
      </c>
      <c r="K48" s="170">
        <f>IFERROR(IF(C48="","",IF(I48=0,"",J48/I48)),"")</f>
        <v/>
      </c>
      <c r="L48" s="145">
        <f>IFERROR(IF(C48="","",I48-J48),"")</f>
        <v/>
      </c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9.5" customHeight="1" s="122">
      <c r="A49" s="121" t="n"/>
      <c r="B49" s="133" t="n">
        <v>10</v>
      </c>
      <c r="C49" s="179">
        <f>IFERROR(IF(10&gt;'MASTER DATA'!I2,"",DATE('MASTER DATA'!F2,'MASTER DATA'!D2,10)),"")</f>
        <v/>
      </c>
      <c r="D49" s="133">
        <f>IF(C49="","",TEXT(C49,"DDDD"))</f>
        <v/>
      </c>
      <c r="E49" s="182">
        <f>IF(C49="","",IFERROR(SUM('MASTER DATA'!K5:K19),0))</f>
        <v/>
      </c>
      <c r="F49" s="183">
        <f>IF(C49="","",IFERROR(SUMIF('INPUT HARIAN'!C4:C503,C49,'INPUT HARIAN'!G4:G503),0))</f>
        <v/>
      </c>
      <c r="G49" s="166">
        <f>IFERROR(IF(C49="","",IF(E49=0,"",F49/E49)),"")</f>
        <v/>
      </c>
      <c r="H49" s="133">
        <f>IF(C49="","",IF(F49=0,"—",IF(G49&gt;=1,"✅ TERCAPAI",IF(G49&gt;=0.5,"⚠ MENUJU TARGET","❌ BELUM TERCAPAI"))))</f>
        <v/>
      </c>
      <c r="I49" s="140">
        <f>IFERROR(IF(C49="","",SUM(E40:E49)),"")</f>
        <v/>
      </c>
      <c r="J49" s="183">
        <f>IFERROR(IF(C49="","",SUM(F40:F49)),"")</f>
        <v/>
      </c>
      <c r="K49" s="166">
        <f>IFERROR(IF(C49="","",IF(I49=0,"",J49/I49)),"")</f>
        <v/>
      </c>
      <c r="L49" s="140">
        <f>IFERROR(IF(C49="","",I49-J49),"")</f>
        <v/>
      </c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9.5" customHeight="1" s="122">
      <c r="A50" s="121" t="n"/>
      <c r="B50" s="143" t="n">
        <v>11</v>
      </c>
      <c r="C50" s="178">
        <f>IFERROR(IF(11&gt;'MASTER DATA'!I2,"",DATE('MASTER DATA'!F2,'MASTER DATA'!D2,11)),"")</f>
        <v/>
      </c>
      <c r="D50" s="143">
        <f>IF(C50="","",TEXT(C50,"DDDD"))</f>
        <v/>
      </c>
      <c r="E50" s="180">
        <f>IF(C50="","",IFERROR(SUM('MASTER DATA'!K5:K19),0))</f>
        <v/>
      </c>
      <c r="F50" s="181">
        <f>IF(C50="","",IFERROR(SUMIF('INPUT HARIAN'!C4:C503,C50,'INPUT HARIAN'!G4:G503),0))</f>
        <v/>
      </c>
      <c r="G50" s="170">
        <f>IFERROR(IF(C50="","",IF(E50=0,"",F50/E50)),"")</f>
        <v/>
      </c>
      <c r="H50" s="143">
        <f>IF(C50="","",IF(F50=0,"—",IF(G50&gt;=1,"✅ TERCAPAI",IF(G50&gt;=0.5,"⚠ MENUJU TARGET","❌ BELUM TERCAPAI"))))</f>
        <v/>
      </c>
      <c r="I50" s="145">
        <f>IFERROR(IF(C50="","",SUM(E40:E50)),"")</f>
        <v/>
      </c>
      <c r="J50" s="181">
        <f>IFERROR(IF(C50="","",SUM(F40:F50)),"")</f>
        <v/>
      </c>
      <c r="K50" s="170">
        <f>IFERROR(IF(C50="","",IF(I50=0,"",J50/I50)),"")</f>
        <v/>
      </c>
      <c r="L50" s="145">
        <f>IFERROR(IF(C50="","",I50-J50),"")</f>
        <v/>
      </c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9.5" customHeight="1" s="122">
      <c r="A51" s="121" t="n"/>
      <c r="B51" s="133" t="n">
        <v>12</v>
      </c>
      <c r="C51" s="179">
        <f>IFERROR(IF(12&gt;'MASTER DATA'!I2,"",DATE('MASTER DATA'!F2,'MASTER DATA'!D2,12)),"")</f>
        <v/>
      </c>
      <c r="D51" s="133">
        <f>IF(C51="","",TEXT(C51,"DDDD"))</f>
        <v/>
      </c>
      <c r="E51" s="182">
        <f>IF(C51="","",IFERROR(SUM('MASTER DATA'!K5:K19),0))</f>
        <v/>
      </c>
      <c r="F51" s="183">
        <f>IF(C51="","",IFERROR(SUMIF('INPUT HARIAN'!C4:C503,C51,'INPUT HARIAN'!G4:G503),0))</f>
        <v/>
      </c>
      <c r="G51" s="166">
        <f>IFERROR(IF(C51="","",IF(E51=0,"",F51/E51)),"")</f>
        <v/>
      </c>
      <c r="H51" s="133">
        <f>IF(C51="","",IF(F51=0,"—",IF(G51&gt;=1,"✅ TERCAPAI",IF(G51&gt;=0.5,"⚠ MENUJU TARGET","❌ BELUM TERCAPAI"))))</f>
        <v/>
      </c>
      <c r="I51" s="140">
        <f>IFERROR(IF(C51="","",SUM(E40:E51)),"")</f>
        <v/>
      </c>
      <c r="J51" s="183">
        <f>IFERROR(IF(C51="","",SUM(F40:F51)),"")</f>
        <v/>
      </c>
      <c r="K51" s="166">
        <f>IFERROR(IF(C51="","",IF(I51=0,"",J51/I51)),"")</f>
        <v/>
      </c>
      <c r="L51" s="140">
        <f>IFERROR(IF(C51="","",I51-J51),"")</f>
        <v/>
      </c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9.5" customHeight="1" s="122">
      <c r="A52" s="121" t="n"/>
      <c r="B52" s="143" t="n">
        <v>13</v>
      </c>
      <c r="C52" s="178">
        <f>IFERROR(IF(13&gt;'MASTER DATA'!I2,"",DATE('MASTER DATA'!F2,'MASTER DATA'!D2,13)),"")</f>
        <v/>
      </c>
      <c r="D52" s="143">
        <f>IF(C52="","",TEXT(C52,"DDDD"))</f>
        <v/>
      </c>
      <c r="E52" s="180">
        <f>IF(C52="","",IFERROR(SUM('MASTER DATA'!K5:K19),0))</f>
        <v/>
      </c>
      <c r="F52" s="181">
        <f>IF(C52="","",IFERROR(SUMIF('INPUT HARIAN'!C4:C503,C52,'INPUT HARIAN'!G4:G503),0))</f>
        <v/>
      </c>
      <c r="G52" s="170">
        <f>IFERROR(IF(C52="","",IF(E52=0,"",F52/E52)),"")</f>
        <v/>
      </c>
      <c r="H52" s="143">
        <f>IF(C52="","",IF(F52=0,"—",IF(G52&gt;=1,"✅ TERCAPAI",IF(G52&gt;=0.5,"⚠ MENUJU TARGET","❌ BELUM TERCAPAI"))))</f>
        <v/>
      </c>
      <c r="I52" s="145">
        <f>IFERROR(IF(C52="","",SUM(E40:E52)),"")</f>
        <v/>
      </c>
      <c r="J52" s="181">
        <f>IFERROR(IF(C52="","",SUM(F40:F52)),"")</f>
        <v/>
      </c>
      <c r="K52" s="170">
        <f>IFERROR(IF(C52="","",IF(I52=0,"",J52/I52)),"")</f>
        <v/>
      </c>
      <c r="L52" s="145">
        <f>IFERROR(IF(C52="","",I52-J52),"")</f>
        <v/>
      </c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9.5" customHeight="1" s="122">
      <c r="A53" s="121" t="n"/>
      <c r="B53" s="133" t="n">
        <v>14</v>
      </c>
      <c r="C53" s="179">
        <f>IFERROR(IF(14&gt;'MASTER DATA'!I2,"",DATE('MASTER DATA'!F2,'MASTER DATA'!D2,14)),"")</f>
        <v/>
      </c>
      <c r="D53" s="133">
        <f>IF(C53="","",TEXT(C53,"DDDD"))</f>
        <v/>
      </c>
      <c r="E53" s="182">
        <f>IF(C53="","",IFERROR(SUM('MASTER DATA'!K5:K19),0))</f>
        <v/>
      </c>
      <c r="F53" s="183">
        <f>IF(C53="","",IFERROR(SUMIF('INPUT HARIAN'!C4:C503,C53,'INPUT HARIAN'!G4:G503),0))</f>
        <v/>
      </c>
      <c r="G53" s="166">
        <f>IFERROR(IF(C53="","",IF(E53=0,"",F53/E53)),"")</f>
        <v/>
      </c>
      <c r="H53" s="133">
        <f>IF(C53="","",IF(F53=0,"—",IF(G53&gt;=1,"✅ TERCAPAI",IF(G53&gt;=0.5,"⚠ MENUJU TARGET","❌ BELUM TERCAPAI"))))</f>
        <v/>
      </c>
      <c r="I53" s="140">
        <f>IFERROR(IF(C53="","",SUM(E40:E53)),"")</f>
        <v/>
      </c>
      <c r="J53" s="183">
        <f>IFERROR(IF(C53="","",SUM(F40:F53)),"")</f>
        <v/>
      </c>
      <c r="K53" s="166">
        <f>IFERROR(IF(C53="","",IF(I53=0,"",J53/I53)),"")</f>
        <v/>
      </c>
      <c r="L53" s="140">
        <f>IFERROR(IF(C53="","",I53-J53),"")</f>
        <v/>
      </c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9.5" customHeight="1" s="122">
      <c r="A54" s="121" t="n"/>
      <c r="B54" s="143" t="n">
        <v>15</v>
      </c>
      <c r="C54" s="178">
        <f>IFERROR(IF(15&gt;'MASTER DATA'!I2,"",DATE('MASTER DATA'!F2,'MASTER DATA'!D2,15)),"")</f>
        <v/>
      </c>
      <c r="D54" s="143">
        <f>IF(C54="","",TEXT(C54,"DDDD"))</f>
        <v/>
      </c>
      <c r="E54" s="180">
        <f>IF(C54="","",IFERROR(SUM('MASTER DATA'!K5:K19),0))</f>
        <v/>
      </c>
      <c r="F54" s="181">
        <f>IF(C54="","",IFERROR(SUMIF('INPUT HARIAN'!C4:C503,C54,'INPUT HARIAN'!G4:G503),0))</f>
        <v/>
      </c>
      <c r="G54" s="170">
        <f>IFERROR(IF(C54="","",IF(E54=0,"",F54/E54)),"")</f>
        <v/>
      </c>
      <c r="H54" s="143">
        <f>IF(C54="","",IF(F54=0,"—",IF(G54&gt;=1,"✅ TERCAPAI",IF(G54&gt;=0.5,"⚠ MENUJU TARGET","❌ BELUM TERCAPAI"))))</f>
        <v/>
      </c>
      <c r="I54" s="145">
        <f>IFERROR(IF(C54="","",SUM(E40:E54)),"")</f>
        <v/>
      </c>
      <c r="J54" s="181">
        <f>IFERROR(IF(C54="","",SUM(F40:F54)),"")</f>
        <v/>
      </c>
      <c r="K54" s="170">
        <f>IFERROR(IF(C54="","",IF(I54=0,"",J54/I54)),"")</f>
        <v/>
      </c>
      <c r="L54" s="145">
        <f>IFERROR(IF(C54="","",I54-J54),"")</f>
        <v/>
      </c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9.5" customHeight="1" s="122">
      <c r="A55" s="121" t="n"/>
      <c r="B55" s="133" t="n">
        <v>16</v>
      </c>
      <c r="C55" s="179">
        <f>IFERROR(IF(16&gt;'MASTER DATA'!I2,"",DATE('MASTER DATA'!F2,'MASTER DATA'!D2,16)),"")</f>
        <v/>
      </c>
      <c r="D55" s="133">
        <f>IF(C55="","",TEXT(C55,"DDDD"))</f>
        <v/>
      </c>
      <c r="E55" s="182">
        <f>IF(C55="","",IFERROR(SUM('MASTER DATA'!K5:K19),0))</f>
        <v/>
      </c>
      <c r="F55" s="183">
        <f>IF(C55="","",IFERROR(SUMIF('INPUT HARIAN'!C4:C503,C55,'INPUT HARIAN'!G4:G503),0))</f>
        <v/>
      </c>
      <c r="G55" s="166">
        <f>IFERROR(IF(C55="","",IF(E55=0,"",F55/E55)),"")</f>
        <v/>
      </c>
      <c r="H55" s="133">
        <f>IF(C55="","",IF(F55=0,"—",IF(G55&gt;=1,"✅ TERCAPAI",IF(G55&gt;=0.5,"⚠ MENUJU TARGET","❌ BELUM TERCAPAI"))))</f>
        <v/>
      </c>
      <c r="I55" s="140">
        <f>IFERROR(IF(C55="","",SUM(E40:E55)),"")</f>
        <v/>
      </c>
      <c r="J55" s="183">
        <f>IFERROR(IF(C55="","",SUM(F40:F55)),"")</f>
        <v/>
      </c>
      <c r="K55" s="166">
        <f>IFERROR(IF(C55="","",IF(I55=0,"",J55/I55)),"")</f>
        <v/>
      </c>
      <c r="L55" s="140">
        <f>IFERROR(IF(C55="","",I55-J55),"")</f>
        <v/>
      </c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9.5" customHeight="1" s="122">
      <c r="A56" s="121" t="n"/>
      <c r="B56" s="143" t="n">
        <v>17</v>
      </c>
      <c r="C56" s="178">
        <f>IFERROR(IF(17&gt;'MASTER DATA'!I2,"",DATE('MASTER DATA'!F2,'MASTER DATA'!D2,17)),"")</f>
        <v/>
      </c>
      <c r="D56" s="143">
        <f>IF(C56="","",TEXT(C56,"DDDD"))</f>
        <v/>
      </c>
      <c r="E56" s="180">
        <f>IF(C56="","",IFERROR(SUM('MASTER DATA'!K5:K19),0))</f>
        <v/>
      </c>
      <c r="F56" s="181">
        <f>IF(C56="","",IFERROR(SUMIF('INPUT HARIAN'!C4:C503,C56,'INPUT HARIAN'!G4:G503),0))</f>
        <v/>
      </c>
      <c r="G56" s="170">
        <f>IFERROR(IF(C56="","",IF(E56=0,"",F56/E56)),"")</f>
        <v/>
      </c>
      <c r="H56" s="143">
        <f>IF(C56="","",IF(F56=0,"—",IF(G56&gt;=1,"✅ TERCAPAI",IF(G56&gt;=0.5,"⚠ MENUJU TARGET","❌ BELUM TERCAPAI"))))</f>
        <v/>
      </c>
      <c r="I56" s="145">
        <f>IFERROR(IF(C56="","",SUM(E40:E56)),"")</f>
        <v/>
      </c>
      <c r="J56" s="181">
        <f>IFERROR(IF(C56="","",SUM(F40:F56)),"")</f>
        <v/>
      </c>
      <c r="K56" s="170">
        <f>IFERROR(IF(C56="","",IF(I56=0,"",J56/I56)),"")</f>
        <v/>
      </c>
      <c r="L56" s="145">
        <f>IFERROR(IF(C56="","",I56-J56),"")</f>
        <v/>
      </c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9.5" customHeight="1" s="122">
      <c r="A57" s="121" t="n"/>
      <c r="B57" s="133" t="n">
        <v>18</v>
      </c>
      <c r="C57" s="179">
        <f>IFERROR(IF(18&gt;'MASTER DATA'!I2,"",DATE('MASTER DATA'!F2,'MASTER DATA'!D2,18)),"")</f>
        <v/>
      </c>
      <c r="D57" s="133">
        <f>IF(C57="","",TEXT(C57,"DDDD"))</f>
        <v/>
      </c>
      <c r="E57" s="182">
        <f>IF(C57="","",IFERROR(SUM('MASTER DATA'!K5:K19),0))</f>
        <v/>
      </c>
      <c r="F57" s="183">
        <f>IF(C57="","",IFERROR(SUMIF('INPUT HARIAN'!C4:C503,C57,'INPUT HARIAN'!G4:G503),0))</f>
        <v/>
      </c>
      <c r="G57" s="166">
        <f>IFERROR(IF(C57="","",IF(E57=0,"",F57/E57)),"")</f>
        <v/>
      </c>
      <c r="H57" s="133">
        <f>IF(C57="","",IF(F57=0,"—",IF(G57&gt;=1,"✅ TERCAPAI",IF(G57&gt;=0.5,"⚠ MENUJU TARGET","❌ BELUM TERCAPAI"))))</f>
        <v/>
      </c>
      <c r="I57" s="140">
        <f>IFERROR(IF(C57="","",SUM(E40:E57)),"")</f>
        <v/>
      </c>
      <c r="J57" s="183">
        <f>IFERROR(IF(C57="","",SUM(F40:F57)),"")</f>
        <v/>
      </c>
      <c r="K57" s="166">
        <f>IFERROR(IF(C57="","",IF(I57=0,"",J57/I57)),"")</f>
        <v/>
      </c>
      <c r="L57" s="140">
        <f>IFERROR(IF(C57="","",I57-J57),"")</f>
        <v/>
      </c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9.5" customHeight="1" s="122">
      <c r="A58" s="121" t="n"/>
      <c r="B58" s="143" t="n">
        <v>19</v>
      </c>
      <c r="C58" s="178">
        <f>IFERROR(IF(19&gt;'MASTER DATA'!I2,"",DATE('MASTER DATA'!F2,'MASTER DATA'!D2,19)),"")</f>
        <v/>
      </c>
      <c r="D58" s="143">
        <f>IF(C58="","",TEXT(C58,"DDDD"))</f>
        <v/>
      </c>
      <c r="E58" s="180">
        <f>IF(C58="","",IFERROR(SUM('MASTER DATA'!K5:K19),0))</f>
        <v/>
      </c>
      <c r="F58" s="181">
        <f>IF(C58="","",IFERROR(SUMIF('INPUT HARIAN'!C4:C503,C58,'INPUT HARIAN'!G4:G503),0))</f>
        <v/>
      </c>
      <c r="G58" s="170">
        <f>IFERROR(IF(C58="","",IF(E58=0,"",F58/E58)),"")</f>
        <v/>
      </c>
      <c r="H58" s="143">
        <f>IF(C58="","",IF(F58=0,"—",IF(G58&gt;=1,"✅ TERCAPAI",IF(G58&gt;=0.5,"⚠ MENUJU TARGET","❌ BELUM TERCAPAI"))))</f>
        <v/>
      </c>
      <c r="I58" s="145">
        <f>IFERROR(IF(C58="","",SUM(E40:E58)),"")</f>
        <v/>
      </c>
      <c r="J58" s="181">
        <f>IFERROR(IF(C58="","",SUM(F40:F58)),"")</f>
        <v/>
      </c>
      <c r="K58" s="170">
        <f>IFERROR(IF(C58="","",IF(I58=0,"",J58/I58)),"")</f>
        <v/>
      </c>
      <c r="L58" s="145">
        <f>IFERROR(IF(C58="","",I58-J58),"")</f>
        <v/>
      </c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9.5" customHeight="1" s="122">
      <c r="A59" s="121" t="n"/>
      <c r="B59" s="133" t="n">
        <v>20</v>
      </c>
      <c r="C59" s="179">
        <f>IFERROR(IF(20&gt;'MASTER DATA'!I2,"",DATE('MASTER DATA'!F2,'MASTER DATA'!D2,20)),"")</f>
        <v/>
      </c>
      <c r="D59" s="133">
        <f>IF(C59="","",TEXT(C59,"DDDD"))</f>
        <v/>
      </c>
      <c r="E59" s="182">
        <f>IF(C59="","",IFERROR(SUM('MASTER DATA'!K5:K19),0))</f>
        <v/>
      </c>
      <c r="F59" s="183">
        <f>IF(C59="","",IFERROR(SUMIF('INPUT HARIAN'!C4:C503,C59,'INPUT HARIAN'!G4:G503),0))</f>
        <v/>
      </c>
      <c r="G59" s="166">
        <f>IFERROR(IF(C59="","",IF(E59=0,"",F59/E59)),"")</f>
        <v/>
      </c>
      <c r="H59" s="133">
        <f>IF(C59="","",IF(F59=0,"—",IF(G59&gt;=1,"✅ TERCAPAI",IF(G59&gt;=0.5,"⚠ MENUJU TARGET","❌ BELUM TERCAPAI"))))</f>
        <v/>
      </c>
      <c r="I59" s="140">
        <f>IFERROR(IF(C59="","",SUM(E40:E59)),"")</f>
        <v/>
      </c>
      <c r="J59" s="183">
        <f>IFERROR(IF(C59="","",SUM(F40:F59)),"")</f>
        <v/>
      </c>
      <c r="K59" s="166">
        <f>IFERROR(IF(C59="","",IF(I59=0,"",J59/I59)),"")</f>
        <v/>
      </c>
      <c r="L59" s="140">
        <f>IFERROR(IF(C59="","",I59-J59),"")</f>
        <v/>
      </c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9.5" customHeight="1" s="122">
      <c r="A60" s="121" t="n"/>
      <c r="B60" s="143" t="n">
        <v>21</v>
      </c>
      <c r="C60" s="178">
        <f>IFERROR(IF(21&gt;'MASTER DATA'!I2,"",DATE('MASTER DATA'!F2,'MASTER DATA'!D2,21)),"")</f>
        <v/>
      </c>
      <c r="D60" s="143">
        <f>IF(C60="","",TEXT(C60,"DDDD"))</f>
        <v/>
      </c>
      <c r="E60" s="180">
        <f>IF(C60="","",IFERROR(SUM('MASTER DATA'!K5:K19),0))</f>
        <v/>
      </c>
      <c r="F60" s="181">
        <f>IF(C60="","",IFERROR(SUMIF('INPUT HARIAN'!C4:C503,C60,'INPUT HARIAN'!G4:G503),0))</f>
        <v/>
      </c>
      <c r="G60" s="170">
        <f>IFERROR(IF(C60="","",IF(E60=0,"",F60/E60)),"")</f>
        <v/>
      </c>
      <c r="H60" s="143">
        <f>IF(C60="","",IF(F60=0,"—",IF(G60&gt;=1,"✅ TERCAPAI",IF(G60&gt;=0.5,"⚠ MENUJU TARGET","❌ BELUM TERCAPAI"))))</f>
        <v/>
      </c>
      <c r="I60" s="145">
        <f>IFERROR(IF(C60="","",SUM(E40:E60)),"")</f>
        <v/>
      </c>
      <c r="J60" s="181">
        <f>IFERROR(IF(C60="","",SUM(F40:F60)),"")</f>
        <v/>
      </c>
      <c r="K60" s="170">
        <f>IFERROR(IF(C60="","",IF(I60=0,"",J60/I60)),"")</f>
        <v/>
      </c>
      <c r="L60" s="145">
        <f>IFERROR(IF(C60="","",I60-J60),"")</f>
        <v/>
      </c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9.5" customHeight="1" s="122">
      <c r="A61" s="121" t="n"/>
      <c r="B61" s="133" t="n">
        <v>22</v>
      </c>
      <c r="C61" s="179">
        <f>IFERROR(IF(22&gt;'MASTER DATA'!I2,"",DATE('MASTER DATA'!F2,'MASTER DATA'!D2,22)),"")</f>
        <v/>
      </c>
      <c r="D61" s="133">
        <f>IF(C61="","",TEXT(C61,"DDDD"))</f>
        <v/>
      </c>
      <c r="E61" s="182">
        <f>IF(C61="","",IFERROR(SUM('MASTER DATA'!K5:K19),0))</f>
        <v/>
      </c>
      <c r="F61" s="183">
        <f>IF(C61="","",IFERROR(SUMIF('INPUT HARIAN'!C4:C503,C61,'INPUT HARIAN'!G4:G503),0))</f>
        <v/>
      </c>
      <c r="G61" s="166">
        <f>IFERROR(IF(C61="","",IF(E61=0,"",F61/E61)),"")</f>
        <v/>
      </c>
      <c r="H61" s="133">
        <f>IF(C61="","",IF(F61=0,"—",IF(G61&gt;=1,"✅ TERCAPAI",IF(G61&gt;=0.5,"⚠ MENUJU TARGET","❌ BELUM TERCAPAI"))))</f>
        <v/>
      </c>
      <c r="I61" s="140">
        <f>IFERROR(IF(C61="","",SUM(E40:E61)),"")</f>
        <v/>
      </c>
      <c r="J61" s="183">
        <f>IFERROR(IF(C61="","",SUM(F40:F61)),"")</f>
        <v/>
      </c>
      <c r="K61" s="166">
        <f>IFERROR(IF(C61="","",IF(I61=0,"",J61/I61)),"")</f>
        <v/>
      </c>
      <c r="L61" s="140">
        <f>IFERROR(IF(C61="","",I61-J61),"")</f>
        <v/>
      </c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9.5" customHeight="1" s="122">
      <c r="A62" s="121" t="n"/>
      <c r="B62" s="143" t="n">
        <v>23</v>
      </c>
      <c r="C62" s="178">
        <f>IFERROR(IF(23&gt;'MASTER DATA'!I2,"",DATE('MASTER DATA'!F2,'MASTER DATA'!D2,23)),"")</f>
        <v/>
      </c>
      <c r="D62" s="143">
        <f>IF(C62="","",TEXT(C62,"DDDD"))</f>
        <v/>
      </c>
      <c r="E62" s="180">
        <f>IF(C62="","",IFERROR(SUM('MASTER DATA'!K5:K19),0))</f>
        <v/>
      </c>
      <c r="F62" s="181">
        <f>IF(C62="","",IFERROR(SUMIF('INPUT HARIAN'!C4:C503,C62,'INPUT HARIAN'!G4:G503),0))</f>
        <v/>
      </c>
      <c r="G62" s="170">
        <f>IFERROR(IF(C62="","",IF(E62=0,"",F62/E62)),"")</f>
        <v/>
      </c>
      <c r="H62" s="143">
        <f>IF(C62="","",IF(F62=0,"—",IF(G62&gt;=1,"✅ TERCAPAI",IF(G62&gt;=0.5,"⚠ MENUJU TARGET","❌ BELUM TERCAPAI"))))</f>
        <v/>
      </c>
      <c r="I62" s="145">
        <f>IFERROR(IF(C62="","",SUM(E40:E62)),"")</f>
        <v/>
      </c>
      <c r="J62" s="181">
        <f>IFERROR(IF(C62="","",SUM(F40:F62)),"")</f>
        <v/>
      </c>
      <c r="K62" s="170">
        <f>IFERROR(IF(C62="","",IF(I62=0,"",J62/I62)),"")</f>
        <v/>
      </c>
      <c r="L62" s="145">
        <f>IFERROR(IF(C62="","",I62-J62),"")</f>
        <v/>
      </c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9.5" customHeight="1" s="122">
      <c r="A63" s="121" t="n"/>
      <c r="B63" s="133" t="n">
        <v>24</v>
      </c>
      <c r="C63" s="179">
        <f>IFERROR(IF(24&gt;'MASTER DATA'!I2,"",DATE('MASTER DATA'!F2,'MASTER DATA'!D2,24)),"")</f>
        <v/>
      </c>
      <c r="D63" s="133">
        <f>IF(C63="","",TEXT(C63,"DDDD"))</f>
        <v/>
      </c>
      <c r="E63" s="182">
        <f>IF(C63="","",IFERROR(SUM('MASTER DATA'!K5:K19),0))</f>
        <v/>
      </c>
      <c r="F63" s="183">
        <f>IF(C63="","",IFERROR(SUMIF('INPUT HARIAN'!C4:C503,C63,'INPUT HARIAN'!G4:G503),0))</f>
        <v/>
      </c>
      <c r="G63" s="166">
        <f>IFERROR(IF(C63="","",IF(E63=0,"",F63/E63)),"")</f>
        <v/>
      </c>
      <c r="H63" s="133">
        <f>IF(C63="","",IF(F63=0,"—",IF(G63&gt;=1,"✅ TERCAPAI",IF(G63&gt;=0.5,"⚠ MENUJU TARGET","❌ BELUM TERCAPAI"))))</f>
        <v/>
      </c>
      <c r="I63" s="140">
        <f>IFERROR(IF(C63="","",SUM(E40:E63)),"")</f>
        <v/>
      </c>
      <c r="J63" s="183">
        <f>IFERROR(IF(C63="","",SUM(F40:F63)),"")</f>
        <v/>
      </c>
      <c r="K63" s="166">
        <f>IFERROR(IF(C63="","",IF(I63=0,"",J63/I63)),"")</f>
        <v/>
      </c>
      <c r="L63" s="140">
        <f>IFERROR(IF(C63="","",I63-J63),"")</f>
        <v/>
      </c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9.5" customHeight="1" s="122">
      <c r="A64" s="121" t="n"/>
      <c r="B64" s="143" t="n">
        <v>25</v>
      </c>
      <c r="C64" s="178">
        <f>IFERROR(IF(25&gt;'MASTER DATA'!I2,"",DATE('MASTER DATA'!F2,'MASTER DATA'!D2,25)),"")</f>
        <v/>
      </c>
      <c r="D64" s="143">
        <f>IF(C64="","",TEXT(C64,"DDDD"))</f>
        <v/>
      </c>
      <c r="E64" s="180">
        <f>IF(C64="","",IFERROR(SUM('MASTER DATA'!K5:K19),0))</f>
        <v/>
      </c>
      <c r="F64" s="181">
        <f>IF(C64="","",IFERROR(SUMIF('INPUT HARIAN'!C4:C503,C64,'INPUT HARIAN'!G4:G503),0))</f>
        <v/>
      </c>
      <c r="G64" s="170">
        <f>IFERROR(IF(C64="","",IF(E64=0,"",F64/E64)),"")</f>
        <v/>
      </c>
      <c r="H64" s="143">
        <f>IF(C64="","",IF(F64=0,"—",IF(G64&gt;=1,"✅ TERCAPAI",IF(G64&gt;=0.5,"⚠ MENUJU TARGET","❌ BELUM TERCAPAI"))))</f>
        <v/>
      </c>
      <c r="I64" s="145">
        <f>IFERROR(IF(C64="","",SUM(E40:E64)),"")</f>
        <v/>
      </c>
      <c r="J64" s="181">
        <f>IFERROR(IF(C64="","",SUM(F40:F64)),"")</f>
        <v/>
      </c>
      <c r="K64" s="170">
        <f>IFERROR(IF(C64="","",IF(I64=0,"",J64/I64)),"")</f>
        <v/>
      </c>
      <c r="L64" s="145">
        <f>IFERROR(IF(C64="","",I64-J64),"")</f>
        <v/>
      </c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9.5" customHeight="1" s="122">
      <c r="A65" s="121" t="n"/>
      <c r="B65" s="133" t="n">
        <v>26</v>
      </c>
      <c r="C65" s="179">
        <f>IFERROR(IF(26&gt;'MASTER DATA'!I2,"",DATE('MASTER DATA'!F2,'MASTER DATA'!D2,26)),"")</f>
        <v/>
      </c>
      <c r="D65" s="133">
        <f>IF(C65="","",TEXT(C65,"DDDD"))</f>
        <v/>
      </c>
      <c r="E65" s="182">
        <f>IF(C65="","",IFERROR(SUM('MASTER DATA'!K5:K19),0))</f>
        <v/>
      </c>
      <c r="F65" s="183">
        <f>IF(C65="","",IFERROR(SUMIF('INPUT HARIAN'!C4:C503,C65,'INPUT HARIAN'!G4:G503),0))</f>
        <v/>
      </c>
      <c r="G65" s="166">
        <f>IFERROR(IF(C65="","",IF(E65=0,"",F65/E65)),"")</f>
        <v/>
      </c>
      <c r="H65" s="133">
        <f>IF(C65="","",IF(F65=0,"—",IF(G65&gt;=1,"✅ TERCAPAI",IF(G65&gt;=0.5,"⚠ MENUJU TARGET","❌ BELUM TERCAPAI"))))</f>
        <v/>
      </c>
      <c r="I65" s="140">
        <f>IFERROR(IF(C65="","",SUM(E40:E65)),"")</f>
        <v/>
      </c>
      <c r="J65" s="183">
        <f>IFERROR(IF(C65="","",SUM(F40:F65)),"")</f>
        <v/>
      </c>
      <c r="K65" s="166">
        <f>IFERROR(IF(C65="","",IF(I65=0,"",J65/I65)),"")</f>
        <v/>
      </c>
      <c r="L65" s="140">
        <f>IFERROR(IF(C65="","",I65-J65),"")</f>
        <v/>
      </c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9.5" customHeight="1" s="122">
      <c r="A66" s="121" t="n"/>
      <c r="B66" s="143" t="n">
        <v>27</v>
      </c>
      <c r="C66" s="178">
        <f>IFERROR(IF(27&gt;'MASTER DATA'!I2,"",DATE('MASTER DATA'!F2,'MASTER DATA'!D2,27)),"")</f>
        <v/>
      </c>
      <c r="D66" s="143">
        <f>IF(C66="","",TEXT(C66,"DDDD"))</f>
        <v/>
      </c>
      <c r="E66" s="180">
        <f>IF(C66="","",IFERROR(SUM('MASTER DATA'!K5:K19),0))</f>
        <v/>
      </c>
      <c r="F66" s="181">
        <f>IF(C66="","",IFERROR(SUMIF('INPUT HARIAN'!C4:C503,C66,'INPUT HARIAN'!G4:G503),0))</f>
        <v/>
      </c>
      <c r="G66" s="170">
        <f>IFERROR(IF(C66="","",IF(E66=0,"",F66/E66)),"")</f>
        <v/>
      </c>
      <c r="H66" s="143">
        <f>IF(C66="","",IF(F66=0,"—",IF(G66&gt;=1,"✅ TERCAPAI",IF(G66&gt;=0.5,"⚠ MENUJU TARGET","❌ BELUM TERCAPAI"))))</f>
        <v/>
      </c>
      <c r="I66" s="145">
        <f>IFERROR(IF(C66="","",SUM(E40:E66)),"")</f>
        <v/>
      </c>
      <c r="J66" s="181">
        <f>IFERROR(IF(C66="","",SUM(F40:F66)),"")</f>
        <v/>
      </c>
      <c r="K66" s="170">
        <f>IFERROR(IF(C66="","",IF(I66=0,"",J66/I66)),"")</f>
        <v/>
      </c>
      <c r="L66" s="145">
        <f>IFERROR(IF(C66="","",I66-J66),"")</f>
        <v/>
      </c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9.5" customHeight="1" s="122">
      <c r="A67" s="121" t="n"/>
      <c r="B67" s="133" t="n">
        <v>28</v>
      </c>
      <c r="C67" s="179">
        <f>IFERROR(IF(28&gt;'MASTER DATA'!I2,"",DATE('MASTER DATA'!F2,'MASTER DATA'!D2,28)),"")</f>
        <v/>
      </c>
      <c r="D67" s="133">
        <f>IF(C67="","",TEXT(C67,"DDDD"))</f>
        <v/>
      </c>
      <c r="E67" s="182">
        <f>IF(C67="","",IFERROR(SUM('MASTER DATA'!K5:K19),0))</f>
        <v/>
      </c>
      <c r="F67" s="183">
        <f>IF(C67="","",IFERROR(SUMIF('INPUT HARIAN'!C4:C503,C67,'INPUT HARIAN'!G4:G503),0))</f>
        <v/>
      </c>
      <c r="G67" s="166">
        <f>IFERROR(IF(C67="","",IF(E67=0,"",F67/E67)),"")</f>
        <v/>
      </c>
      <c r="H67" s="133">
        <f>IF(C67="","",IF(F67=0,"—",IF(G67&gt;=1,"✅ TERCAPAI",IF(G67&gt;=0.5,"⚠ MENUJU TARGET","❌ BELUM TERCAPAI"))))</f>
        <v/>
      </c>
      <c r="I67" s="140">
        <f>IFERROR(IF(C67="","",SUM(E40:E67)),"")</f>
        <v/>
      </c>
      <c r="J67" s="183">
        <f>IFERROR(IF(C67="","",SUM(F40:F67)),"")</f>
        <v/>
      </c>
      <c r="K67" s="166">
        <f>IFERROR(IF(C67="","",IF(I67=0,"",J67/I67)),"")</f>
        <v/>
      </c>
      <c r="L67" s="140">
        <f>IFERROR(IF(C67="","",I67-J67),"")</f>
        <v/>
      </c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9.5" customHeight="1" s="122">
      <c r="A68" s="121" t="n"/>
      <c r="B68" s="143" t="n">
        <v>29</v>
      </c>
      <c r="C68" s="178">
        <f>IFERROR(IF(29&gt;'MASTER DATA'!I2,"",DATE('MASTER DATA'!F2,'MASTER DATA'!D2,29)),"")</f>
        <v/>
      </c>
      <c r="D68" s="143">
        <f>IF(C68="","",TEXT(C68,"DDDD"))</f>
        <v/>
      </c>
      <c r="E68" s="180">
        <f>IF(C68="","",IFERROR(SUM('MASTER DATA'!K5:K19),0))</f>
        <v/>
      </c>
      <c r="F68" s="181">
        <f>IF(C68="","",IFERROR(SUMIF('INPUT HARIAN'!C4:C503,C68,'INPUT HARIAN'!G4:G503),0))</f>
        <v/>
      </c>
      <c r="G68" s="170">
        <f>IFERROR(IF(C68="","",IF(E68=0,"",F68/E68)),"")</f>
        <v/>
      </c>
      <c r="H68" s="143">
        <f>IF(C68="","",IF(F68=0,"—",IF(G68&gt;=1,"✅ TERCAPAI",IF(G68&gt;=0.5,"⚠ MENUJU TARGET","❌ BELUM TERCAPAI"))))</f>
        <v/>
      </c>
      <c r="I68" s="145">
        <f>IFERROR(IF(C68="","",SUM(E40:E68)),"")</f>
        <v/>
      </c>
      <c r="J68" s="181">
        <f>IFERROR(IF(C68="","",SUM(F40:F68)),"")</f>
        <v/>
      </c>
      <c r="K68" s="170">
        <f>IFERROR(IF(C68="","",IF(I68=0,"",J68/I68)),"")</f>
        <v/>
      </c>
      <c r="L68" s="145">
        <f>IFERROR(IF(C68="","",I68-J68),"")</f>
        <v/>
      </c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9.5" customHeight="1" s="122">
      <c r="A69" s="121" t="n"/>
      <c r="B69" s="133" t="n">
        <v>30</v>
      </c>
      <c r="C69" s="179">
        <f>IFERROR(IF(30&gt;'MASTER DATA'!I2,"",DATE('MASTER DATA'!F2,'MASTER DATA'!D2,30)),"")</f>
        <v/>
      </c>
      <c r="D69" s="133">
        <f>IF(C69="","",TEXT(C69,"DDDD"))</f>
        <v/>
      </c>
      <c r="E69" s="182">
        <f>IF(C69="","",IFERROR(SUM('MASTER DATA'!K5:K19),0))</f>
        <v/>
      </c>
      <c r="F69" s="183">
        <f>IF(C69="","",IFERROR(SUMIF('INPUT HARIAN'!C4:C503,C69,'INPUT HARIAN'!G4:G503),0))</f>
        <v/>
      </c>
      <c r="G69" s="166">
        <f>IFERROR(IF(C69="","",IF(E69=0,"",F69/E69)),"")</f>
        <v/>
      </c>
      <c r="H69" s="133">
        <f>IF(C69="","",IF(F69=0,"—",IF(G69&gt;=1,"✅ TERCAPAI",IF(G69&gt;=0.5,"⚠ MENUJU TARGET","❌ BELUM TERCAPAI"))))</f>
        <v/>
      </c>
      <c r="I69" s="140">
        <f>IFERROR(IF(C69="","",SUM(E40:E69)),"")</f>
        <v/>
      </c>
      <c r="J69" s="183">
        <f>IFERROR(IF(C69="","",SUM(F40:F69)),"")</f>
        <v/>
      </c>
      <c r="K69" s="166">
        <f>IFERROR(IF(C69="","",IF(I69=0,"",J69/I69)),"")</f>
        <v/>
      </c>
      <c r="L69" s="140">
        <f>IFERROR(IF(C69="","",I69-J69),"")</f>
        <v/>
      </c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9.5" customHeight="1" s="122">
      <c r="A70" s="121" t="n"/>
      <c r="B70" s="143" t="n">
        <v>31</v>
      </c>
      <c r="C70" s="178">
        <f>IFERROR(IF(31&gt;'MASTER DATA'!I2,"",DATE('MASTER DATA'!F2,'MASTER DATA'!D2,31)),"")</f>
        <v/>
      </c>
      <c r="D70" s="143">
        <f>IF(C70="","",TEXT(C70,"DDDD"))</f>
        <v/>
      </c>
      <c r="E70" s="180">
        <f>IF(C70="","",IFERROR(SUM('MASTER DATA'!K5:K19),0))</f>
        <v/>
      </c>
      <c r="F70" s="181">
        <f>IF(C70="","",IFERROR(SUMIF('INPUT HARIAN'!C4:C503,C70,'INPUT HARIAN'!G4:G503),0))</f>
        <v/>
      </c>
      <c r="G70" s="170">
        <f>IFERROR(IF(C70="","",IF(E70=0,"",F70/E70)),"")</f>
        <v/>
      </c>
      <c r="H70" s="143">
        <f>IF(C70="","",IF(F70=0,"—",IF(G70&gt;=1,"✅ TERCAPAI",IF(G70&gt;=0.5,"⚠ MENUJU TARGET","❌ BELUM TERCAPAI"))))</f>
        <v/>
      </c>
      <c r="I70" s="145">
        <f>IFERROR(IF(C70="","",SUM(E40:E70)),"")</f>
        <v/>
      </c>
      <c r="J70" s="181">
        <f>IFERROR(IF(C70="","",SUM(F40:F70)),"")</f>
        <v/>
      </c>
      <c r="K70" s="170">
        <f>IFERROR(IF(C70="","",IF(I70=0,"",J70/I70)),"")</f>
        <v/>
      </c>
      <c r="L70" s="145">
        <f>IFERROR(IF(C70="","",I70-J70),"")</f>
        <v/>
      </c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27.75" customHeight="1" s="122">
      <c r="A71" s="121" t="n"/>
      <c r="B71" s="172" t="inlineStr">
        <is>
          <t>TOTAL BULAN</t>
        </is>
      </c>
      <c r="C71" s="149" t="n"/>
      <c r="D71" s="149" t="n"/>
      <c r="E71" s="152">
        <f>IFERROR(SUM(E40:E70),"")</f>
        <v/>
      </c>
      <c r="F71" s="184">
        <f>IFERROR(SUM(F40:F70),"")</f>
        <v/>
      </c>
      <c r="G71" s="173">
        <f>IFERROR(F71/E71,"")</f>
        <v/>
      </c>
      <c r="H71" s="151" t="n"/>
      <c r="I71" s="151" t="n"/>
      <c r="J71" s="151" t="n"/>
      <c r="K71" s="151" t="n"/>
      <c r="L71" s="15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5.75" customHeight="1" s="122">
      <c r="A72" s="121" t="n"/>
      <c r="B72" s="121" t="n"/>
      <c r="C72" s="121" t="n"/>
      <c r="D72" s="121" t="n"/>
      <c r="E72" s="121" t="n"/>
      <c r="F72" s="121" t="n"/>
      <c r="G72" s="121" t="n"/>
      <c r="H72" s="121" t="n"/>
      <c r="I72" s="121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5.75" customHeight="1" s="122">
      <c r="A73" s="121" t="n"/>
      <c r="B73" s="121" t="n"/>
      <c r="C73" s="121" t="n"/>
      <c r="D73" s="121" t="n"/>
      <c r="E73" s="121" t="n"/>
      <c r="F73" s="121" t="n"/>
      <c r="G73" s="121" t="n"/>
      <c r="H73" s="121" t="n"/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5.75" customHeight="1" s="122">
      <c r="A74" s="121" t="n"/>
      <c r="B74" s="121" t="n"/>
      <c r="C74" s="121" t="n"/>
      <c r="D74" s="121" t="n"/>
      <c r="E74" s="121" t="n"/>
      <c r="F74" s="121" t="n"/>
      <c r="G74" s="121" t="n"/>
      <c r="H74" s="121" t="n"/>
      <c r="I74" s="121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5.75" customHeight="1" s="122">
      <c r="A75" s="121" t="n"/>
      <c r="B75" s="121" t="n"/>
      <c r="C75" s="121" t="n"/>
      <c r="D75" s="121" t="n"/>
      <c r="E75" s="121" t="n"/>
      <c r="F75" s="121" t="n"/>
      <c r="G75" s="121" t="n"/>
      <c r="H75" s="121" t="n"/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5.75" customHeight="1" s="122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5.75" customHeight="1" s="122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5.75" customHeight="1" s="122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5.75" customHeight="1" s="122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5.75" customHeight="1" s="122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5.75" customHeight="1" s="122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5.75" customHeight="1" s="122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5.75" customHeight="1" s="122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5.75" customHeight="1" s="122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5.75" customHeight="1" s="122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5.75" customHeight="1" s="122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5.75" customHeight="1" s="122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5.75" customHeight="1" s="122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5.75" customHeight="1" s="122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5.75" customHeight="1" s="122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5.75" customHeight="1" s="122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5.75" customHeight="1" s="122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5.75" customHeight="1" s="122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5.75" customHeight="1" s="122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5.75" customHeight="1" s="122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5.75" customHeight="1" s="122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5.75" customHeight="1" s="122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5.75" customHeight="1" s="122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5.75" customHeight="1" s="122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5.75" customHeight="1" s="122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5.75" customHeight="1" s="122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5.75" customHeight="1" s="122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5.75" customHeight="1" s="122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5.75" customHeight="1" s="122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5.75" customHeight="1" s="122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5.75" customHeight="1" s="122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5.75" customHeight="1" s="122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5.75" customHeight="1" s="122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5.75" customHeight="1" s="122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5.75" customHeight="1" s="122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5.75" customHeight="1" s="122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5.75" customHeight="1" s="122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5.75" customHeight="1" s="122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5.75" customHeight="1" s="122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5.75" customHeight="1" s="122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5.75" customHeight="1" s="122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5.75" customHeight="1" s="122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5.75" customHeight="1" s="122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5.75" customHeight="1" s="122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5.75" customHeight="1" s="122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5.75" customHeight="1" s="122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5.75" customHeight="1" s="122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5.75" customHeight="1" s="122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5.75" customHeight="1" s="122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5.75" customHeight="1" s="122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5.75" customHeight="1" s="122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5.75" customHeight="1" s="122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5.75" customHeight="1" s="122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5.75" customHeight="1" s="122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5.75" customHeight="1" s="122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5.75" customHeight="1" s="122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5.75" customHeight="1" s="122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5.75" customHeight="1" s="122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5.75" customHeight="1" s="122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5.75" customHeight="1" s="122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5.75" customHeight="1" s="122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5.75" customHeight="1" s="122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5.75" customHeight="1" s="122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5.75" customHeight="1" s="122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5.75" customHeight="1" s="122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5.75" customHeight="1" s="122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5.75" customHeight="1" s="122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5.75" customHeight="1" s="122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5.75" customHeight="1" s="122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5.75" customHeight="1" s="122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5.75" customHeight="1" s="122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5.75" customHeight="1" s="122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5.75" customHeight="1" s="122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5.75" customHeight="1" s="122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5.75" customHeight="1" s="122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5.75" customHeight="1" s="122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5.75" customHeight="1" s="122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5.75" customHeight="1" s="122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5.75" customHeight="1" s="122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5.75" customHeight="1" s="122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5.75" customHeight="1" s="122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5.75" customHeight="1" s="122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5.75" customHeight="1" s="122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5.75" customHeight="1" s="122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5.75" customHeight="1" s="122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5.75" customHeight="1" s="122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5.75" customHeight="1" s="122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5.75" customHeight="1" s="122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5.75" customHeight="1" s="122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5.75" customHeight="1" s="122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5.75" customHeight="1" s="122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5.75" customHeight="1" s="122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5.75" customHeight="1" s="122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5.75" customHeight="1" s="122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5.75" customHeight="1" s="122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5.75" customHeight="1" s="122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5.75" customHeight="1" s="122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5.75" customHeight="1" s="122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5.75" customHeight="1" s="122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5.75" customHeight="1" s="122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5.75" customHeight="1" s="122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5.75" customHeight="1" s="122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5.75" customHeight="1" s="122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5.75" customHeight="1" s="122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5.75" customHeight="1" s="122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5.75" customHeight="1" s="122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5.75" customHeight="1" s="122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5.75" customHeight="1" s="122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5.75" customHeight="1" s="122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5.75" customHeight="1" s="122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5.75" customHeight="1" s="122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5.75" customHeight="1" s="122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5.75" customHeight="1" s="122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5.75" customHeight="1" s="122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5.75" customHeight="1" s="122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5.75" customHeight="1" s="122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5.75" customHeight="1" s="122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5.75" customHeight="1" s="122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5.75" customHeight="1" s="122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5.75" customHeight="1" s="122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5.75" customHeight="1" s="122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5.75" customHeight="1" s="122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5.75" customHeight="1" s="122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5.75" customHeight="1" s="122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5.75" customHeight="1" s="122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5.75" customHeight="1" s="122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5.75" customHeight="1" s="122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5.75" customHeight="1" s="122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5.75" customHeight="1" s="122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5.75" customHeight="1" s="122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5.75" customHeight="1" s="122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5.75" customHeight="1" s="122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5.75" customHeight="1" s="122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5.75" customHeight="1" s="122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5.75" customHeight="1" s="122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5.75" customHeight="1" s="122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5.75" customHeight="1" s="122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5.75" customHeight="1" s="122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5.75" customHeight="1" s="122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5.75" customHeight="1" s="122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5.75" customHeight="1" s="122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5.75" customHeight="1" s="122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5.75" customHeight="1" s="122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5.75" customHeight="1" s="122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5.75" customHeight="1" s="122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5.75" customHeight="1" s="122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5.75" customHeight="1" s="122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5.75" customHeight="1" s="122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5.75" customHeight="1" s="122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5.75" customHeight="1" s="122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5.75" customHeight="1" s="122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5.75" customHeight="1" s="122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5.75" customHeight="1" s="122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5.75" customHeight="1" s="122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5.75" customHeight="1" s="122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5.75" customHeight="1" s="122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5.75" customHeight="1" s="122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5.75" customHeight="1" s="122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5.75" customHeight="1" s="122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5.75" customHeight="1" s="122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5.75" customHeight="1" s="122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5.75" customHeight="1" s="122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5.75" customHeight="1" s="122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5.75" customHeight="1" s="122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5.75" customHeight="1" s="122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5.75" customHeight="1" s="122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5.75" customHeight="1" s="122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5.75" customHeight="1" s="122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5.75" customHeight="1" s="122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5.75" customHeight="1" s="122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5.75" customHeight="1" s="122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5.75" customHeight="1" s="122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5.75" customHeight="1" s="122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5.75" customHeight="1" s="122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5.75" customHeight="1" s="122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5.75" customHeight="1" s="122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5.75" customHeight="1" s="122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5.75" customHeight="1" s="122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5.75" customHeight="1" s="122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5.75" customHeight="1" s="122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5.75" customHeight="1" s="122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5.75" customHeight="1" s="122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5.75" customHeight="1" s="122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5.75" customHeight="1" s="122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5.75" customHeight="1" s="122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5.75" customHeight="1" s="122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5.75" customHeight="1" s="122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5.75" customHeight="1" s="122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5.75" customHeight="1" s="122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5.75" customHeight="1" s="122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5.75" customHeight="1" s="122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5.75" customHeight="1" s="122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5.75" customHeight="1" s="122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5.75" customHeight="1" s="122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5.75" customHeight="1" s="122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5.75" customHeight="1" s="122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5.75" customHeight="1" s="122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5.75" customHeight="1" s="122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5.75" customHeight="1" s="122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5.75" customHeight="1" s="122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5.75" customHeight="1" s="122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5.75" customHeight="1" s="122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5.75" customHeight="1" s="122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5.75" customHeight="1" s="122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5.75" customHeight="1" s="122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5.75" customHeight="1" s="122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5.75" customHeight="1" s="122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5.75" customHeight="1" s="122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5.75" customHeight="1" s="122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5.75" customHeight="1" s="122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5.75" customHeight="1" s="122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5.75" customHeight="1" s="122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5.75" customHeight="1" s="122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5.75" customHeight="1" s="122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5.75" customHeight="1" s="122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5.75" customHeight="1" s="122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5.75" customHeight="1" s="122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5.75" customHeight="1" s="122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5.75" customHeight="1" s="122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5.75" customHeight="1" s="122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5.75" customHeight="1" s="122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5.75" customHeight="1" s="122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5.75" customHeight="1" s="122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5.75" customHeight="1" s="122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5.75" customHeight="1" s="122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5.75" customHeight="1" s="122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5.75" customHeight="1" s="122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5.75" customHeight="1" s="122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5.75" customHeight="1" s="122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5.75" customHeight="1" s="122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5.75" customHeight="1" s="122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5.75" customHeight="1" s="122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5.75" customHeight="1" s="122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5.75" customHeight="1" s="122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5.75" customHeight="1" s="122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5.75" customHeight="1" s="122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5.75" customHeight="1" s="122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5.75" customHeight="1" s="122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5.75" customHeight="1" s="122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5.75" customHeight="1" s="122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5.75" customHeight="1" s="122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5.75" customHeight="1" s="122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5.75" customHeight="1" s="122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5.75" customHeight="1" s="122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5.75" customHeight="1" s="122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5.75" customHeight="1" s="122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5.75" customHeight="1" s="122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5.75" customHeight="1" s="122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5.75" customHeight="1" s="122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5.75" customHeight="1" s="122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5.75" customHeight="1" s="122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5.75" customHeight="1" s="122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5.75" customHeight="1" s="122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5.75" customHeight="1" s="122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5.75" customHeight="1" s="122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5.75" customHeight="1" s="122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5.75" customHeight="1" s="122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5.75" customHeight="1" s="122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5.75" customHeight="1" s="122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5.75" customHeight="1" s="122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5.75" customHeight="1" s="122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5.75" customHeight="1" s="122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5.75" customHeight="1" s="122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5.75" customHeight="1" s="122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5.75" customHeight="1" s="122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5.75" customHeight="1" s="122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5.75" customHeight="1" s="122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5.75" customHeight="1" s="122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5.75" customHeight="1" s="122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5.75" customHeight="1" s="122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5.75" customHeight="1" s="122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5.75" customHeight="1" s="122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5.75" customHeight="1" s="122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5.75" customHeight="1" s="122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5.75" customHeight="1" s="122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5.75" customHeight="1" s="122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5.75" customHeight="1" s="122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5.75" customHeight="1" s="122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5.75" customHeight="1" s="122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5.75" customHeight="1" s="122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5.75" customHeight="1" s="122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5.75" customHeight="1" s="122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5.75" customHeight="1" s="122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5.75" customHeight="1" s="122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5.75" customHeight="1" s="122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5.75" customHeight="1" s="122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5.75" customHeight="1" s="122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5.75" customHeight="1" s="122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5.75" customHeight="1" s="122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5.75" customHeight="1" s="122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5.75" customHeight="1" s="122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5.75" customHeight="1" s="122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5.75" customHeight="1" s="122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5.75" customHeight="1" s="122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5.75" customHeight="1" s="122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5.75" customHeight="1" s="122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5.75" customHeight="1" s="122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5.75" customHeight="1" s="122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5.75" customHeight="1" s="122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5.75" customHeight="1" s="122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5.75" customHeight="1" s="122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5.75" customHeight="1" s="122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5.75" customHeight="1" s="122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5.75" customHeight="1" s="122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5.75" customHeight="1" s="122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5.75" customHeight="1" s="122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5.75" customHeight="1" s="122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5.75" customHeight="1" s="122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5.75" customHeight="1" s="122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5.75" customHeight="1" s="122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5.75" customHeight="1" s="122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5.75" customHeight="1" s="122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5.75" customHeight="1" s="122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5.75" customHeight="1" s="122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5.75" customHeight="1" s="122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5.75" customHeight="1" s="122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5.75" customHeight="1" s="122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5.75" customHeight="1" s="122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5.75" customHeight="1" s="122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5.75" customHeight="1" s="122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5.75" customHeight="1" s="122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5.75" customHeight="1" s="122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5.75" customHeight="1" s="122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5.75" customHeight="1" s="122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5.75" customHeight="1" s="122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5.75" customHeight="1" s="122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5.75" customHeight="1" s="122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5.75" customHeight="1" s="122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5.75" customHeight="1" s="122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5.75" customHeight="1" s="122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5.75" customHeight="1" s="122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5.75" customHeight="1" s="122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5.75" customHeight="1" s="122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5.75" customHeight="1" s="122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5.75" customHeight="1" s="122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5.75" customHeight="1" s="122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5.75" customHeight="1" s="122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5.75" customHeight="1" s="122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5.75" customHeight="1" s="122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5.75" customHeight="1" s="122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5.75" customHeight="1" s="122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5.75" customHeight="1" s="122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5.75" customHeight="1" s="122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5.75" customHeight="1" s="122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5.75" customHeight="1" s="122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5.75" customHeight="1" s="122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5.75" customHeight="1" s="122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5.75" customHeight="1" s="122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5.75" customHeight="1" s="122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5.75" customHeight="1" s="122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5.75" customHeight="1" s="122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5.75" customHeight="1" s="122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5.75" customHeight="1" s="122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5.75" customHeight="1" s="122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5.75" customHeight="1" s="122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5.75" customHeight="1" s="122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5.75" customHeight="1" s="122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5.75" customHeight="1" s="122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5.75" customHeight="1" s="122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5.75" customHeight="1" s="122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5.75" customHeight="1" s="122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5.75" customHeight="1" s="122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5.75" customHeight="1" s="122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5.75" customHeight="1" s="122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5.75" customHeight="1" s="122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5.75" customHeight="1" s="122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5.75" customHeight="1" s="122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5.75" customHeight="1" s="122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5.75" customHeight="1" s="122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5.75" customHeight="1" s="122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5.75" customHeight="1" s="122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5.75" customHeight="1" s="122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5.75" customHeight="1" s="122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5.75" customHeight="1" s="122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5.75" customHeight="1" s="122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5.75" customHeight="1" s="122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5.75" customHeight="1" s="122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5.75" customHeight="1" s="122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5.75" customHeight="1" s="122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5.75" customHeight="1" s="122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5.75" customHeight="1" s="122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5.75" customHeight="1" s="122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5.75" customHeight="1" s="122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5.75" customHeight="1" s="122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5.75" customHeight="1" s="122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5.75" customHeight="1" s="122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5.75" customHeight="1" s="122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5.75" customHeight="1" s="122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5.75" customHeight="1" s="122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5.75" customHeight="1" s="122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5.75" customHeight="1" s="122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5.75" customHeight="1" s="122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5.75" customHeight="1" s="122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5.75" customHeight="1" s="122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5.75" customHeight="1" s="122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5.75" customHeight="1" s="122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5.75" customHeight="1" s="122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5.75" customHeight="1" s="122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5.75" customHeight="1" s="122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5.75" customHeight="1" s="122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5.75" customHeight="1" s="122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5.75" customHeight="1" s="122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5.75" customHeight="1" s="122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5.75" customHeight="1" s="122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5.75" customHeight="1" s="122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5.75" customHeight="1" s="122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5.75" customHeight="1" s="122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5.75" customHeight="1" s="122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5.75" customHeight="1" s="122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5.75" customHeight="1" s="122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5.75" customHeight="1" s="122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5.75" customHeight="1" s="122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5.75" customHeight="1" s="122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5.75" customHeight="1" s="122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5.75" customHeight="1" s="122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5.75" customHeight="1" s="122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5.75" customHeight="1" s="122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5.75" customHeight="1" s="122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5.75" customHeight="1" s="122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5.75" customHeight="1" s="122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5.75" customHeight="1" s="122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5.75" customHeight="1" s="122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5.75" customHeight="1" s="122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5.75" customHeight="1" s="122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5.75" customHeight="1" s="122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5.75" customHeight="1" s="122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5.75" customHeight="1" s="122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5.75" customHeight="1" s="122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 s="122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 s="122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 s="122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 s="122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 s="122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 s="122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 s="122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 s="122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 s="122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 s="122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 s="122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 s="122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 s="122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 s="122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 s="122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 s="122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 s="122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 s="122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 s="122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 s="122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 s="122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 s="122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 s="122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 s="122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 s="122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 s="122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 s="122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 s="122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 s="122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 s="122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 s="122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 s="122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 s="122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 s="122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 s="122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 s="122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 s="122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 s="122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 s="122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 s="122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 s="122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 s="122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 s="122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 s="122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 s="122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 s="122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 s="122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 s="122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 s="122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 s="122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 s="122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 s="122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 s="122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 s="122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 s="122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 s="122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 s="122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 s="122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 s="122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 s="122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 s="122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 s="122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 s="122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 s="122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 s="122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 s="122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 s="122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 s="122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 s="122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 s="122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 s="122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 s="122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 s="122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 s="122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 s="122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 s="122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 s="122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 s="122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 s="122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 s="122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 s="122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 s="122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 s="122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 s="122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 s="122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 s="122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 s="122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 s="122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 s="122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 s="122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 s="122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 s="122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 s="122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 s="122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 s="122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 s="122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 s="122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 s="122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 s="122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 s="122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 s="122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 s="122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 s="122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 s="122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 s="122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 s="122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 s="122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 s="122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 s="122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 s="122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 s="122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 s="122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 s="122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 s="122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 s="122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 s="122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 s="122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 s="122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 s="122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 s="122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 s="122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 s="122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 s="122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 s="122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 s="122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 s="122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 s="122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 s="122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 s="122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 s="122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 s="122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 s="122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 s="122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 s="122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 s="122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 s="122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 s="122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 s="122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 s="122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 s="122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 s="122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 s="122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 s="122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 s="122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 s="122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 s="122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 s="122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 s="122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 s="122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 s="122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 s="122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 s="122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 s="122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 s="122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 s="122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 s="122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 s="122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 s="122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 s="122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 s="122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 s="122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 s="122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 s="122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 s="122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 s="122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 s="122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 s="122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 s="122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 s="122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 s="122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 s="122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 s="122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 s="122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 s="122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 s="122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 s="122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 s="122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 s="122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 s="122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 s="122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 s="122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 s="122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 s="122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 s="122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 s="122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 s="122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 s="122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 s="122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 s="122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 s="122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 s="122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 s="122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 s="122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 s="122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 s="122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 s="122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 s="122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 s="122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 s="122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 s="122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 s="122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 s="122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 s="122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 s="122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 s="122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 s="122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 s="122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 s="122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 s="122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 s="122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 s="122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 s="122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 s="122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 s="122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 s="122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 s="122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 s="122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 s="122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 s="122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 s="122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 s="122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 s="122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 s="122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 s="122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 s="122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 s="122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 s="122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 s="122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 s="122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 s="122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 s="122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 s="122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 s="122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 s="122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 s="122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 s="122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 s="122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 s="122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 s="122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 s="122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 s="122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 s="122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 s="122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 s="122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 s="122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 s="122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 s="122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 s="122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 s="122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 s="122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 s="122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 s="122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 s="122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 s="122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 s="122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 s="122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 s="122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 s="122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 s="122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 s="122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 s="122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 s="122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 s="122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 s="122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 s="122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 s="122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 s="122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 s="122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 s="122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 s="122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 s="122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 s="122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 s="122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 s="122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 s="122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 s="122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 s="122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 s="122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 s="122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 s="122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 s="122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 s="122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 s="122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 s="122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 s="122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 s="122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 s="122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 s="122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 s="122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 s="122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 s="122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 s="122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 s="122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 s="122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 s="122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 s="122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 s="122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 s="122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 s="122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 s="122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 s="122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 s="122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 s="122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 s="122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 s="122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 s="122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 s="122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 s="122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 s="122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 s="122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 s="122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 s="122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 s="122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 s="122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 s="122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 s="122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 s="122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 s="122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 s="122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 s="122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 s="122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 s="122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 s="122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 s="122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 s="122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 s="122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 s="122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 s="122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 s="122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 s="122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 s="122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 s="122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 s="122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 s="122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 s="122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 s="122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 s="122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 s="122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 s="122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 s="122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 s="122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 s="122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 s="122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 s="122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 s="122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 s="122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 s="122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 s="122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 s="122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 s="122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 s="122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 s="122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 s="122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 s="122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 s="122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 s="122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 s="122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 s="122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 s="122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 s="122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 s="122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 s="122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 s="122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 s="122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 s="122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 s="122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 s="122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 s="122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 s="122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 s="122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 s="122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 s="122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 s="122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 s="122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 s="122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 s="122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 s="122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 s="122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 s="122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 s="122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 s="122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 s="122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 s="122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 s="122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 s="122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 s="122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 s="122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 s="122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 s="122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 s="122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 s="122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 s="122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 s="122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 s="122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 s="122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 s="122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 s="122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 s="122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 s="122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 s="122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 s="122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 s="122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 s="122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 s="122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 s="122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 s="122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 s="122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 s="122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 s="122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 s="122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 s="122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 s="122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 s="122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 s="122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 s="122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 s="122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 s="122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 s="122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 s="122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 s="122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 s="122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 s="122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 s="122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 s="122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 s="122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 s="122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 s="122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 s="122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 s="122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 s="122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 s="122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 s="122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 s="122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 s="122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 s="122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 s="122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 s="122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 s="122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 s="122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 s="122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 s="122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 s="122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 s="122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 s="122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 s="122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 s="122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 s="122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 s="122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 s="122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 s="122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 s="122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 s="122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 s="122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 s="122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 s="122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 s="122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 s="122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 s="122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 s="122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 s="122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 s="122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 s="122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 s="122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 s="122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 s="122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 s="122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 s="122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 s="122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 s="122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 s="122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 s="122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 s="122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 s="122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 s="122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 s="122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 s="122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 s="122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 s="122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 s="122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 s="122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 s="122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 s="122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 s="122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 s="122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 s="122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 s="122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 s="122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 s="122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 s="122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 s="122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 s="122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 s="122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 s="122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 s="122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 s="122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 s="122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 s="122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6">
    <mergeCell ref="B36:D36"/>
    <mergeCell ref="B38:L38"/>
    <mergeCell ref="B71:D71"/>
    <mergeCell ref="B3:L3"/>
    <mergeCell ref="B2:L2"/>
    <mergeCell ref="B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B547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baseColWidth="8" defaultColWidth="14.43359375" defaultRowHeight="15" zeroHeight="0" outlineLevelRow="0"/>
  <cols>
    <col width="8.710000000000001" customWidth="1" style="121" min="1" max="1"/>
    <col width="6" customWidth="1" style="121" min="2" max="2"/>
    <col width="38" customWidth="1" style="121" min="3" max="3"/>
    <col width="8" customWidth="1" style="121" min="4" max="4"/>
    <col width="16" customWidth="1" style="121" min="5" max="6"/>
    <col width="10" customWidth="1" style="121" min="7" max="7"/>
    <col width="14" customWidth="1" style="121" min="8" max="8"/>
    <col width="16" customWidth="1" style="121" min="9" max="10"/>
    <col width="10" customWidth="1" style="121" min="11" max="11"/>
    <col width="16" customWidth="1" style="121" min="12" max="12"/>
    <col width="20" customWidth="1" style="121" min="13" max="13"/>
    <col width="13" customWidth="1" style="121" min="14" max="16"/>
    <col width="26" customWidth="1" style="121" min="17" max="17"/>
    <col width="16" customWidth="1" style="121" min="18" max="18"/>
  </cols>
  <sheetData>
    <row r="1" ht="31.5" customHeight="1" s="122">
      <c r="A1" s="121" t="n"/>
      <c r="B1" s="185" t="inlineStr">
        <is>
          <t>📋  DASHBOARD HARIAN PER PROGRAM — APRIL 2026</t>
        </is>
      </c>
      <c r="P1" s="186" t="n">
        <v>46118</v>
      </c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</row>
    <row r="2" ht="27.75" customHeight="1" s="122">
      <c r="A2" s="121" t="n"/>
      <c r="B2" s="187" t="inlineStr">
        <is>
          <t>Data pencapaian diambil otomatis dari INPUT HARIAN. Tambah program baru: isi di sheet MASTER DATA baris 20 dst. 🔵 Biru = input manual | ⬛ = formula otomatis</t>
        </is>
      </c>
      <c r="P2" s="121" t="n"/>
      <c r="Q2" s="121" t="n"/>
      <c r="R2" s="121" t="n"/>
      <c r="S2" s="121" t="n"/>
      <c r="T2" s="121" t="n"/>
      <c r="U2" s="121" t="n"/>
      <c r="V2" s="121" t="n"/>
      <c r="W2" s="121" t="n"/>
      <c r="X2" s="121" t="n"/>
      <c r="Y2" s="121" t="n"/>
      <c r="Z2" s="121" t="n"/>
    </row>
    <row r="3" ht="15" customHeight="1" s="122">
      <c r="A3" s="121" t="n"/>
      <c r="B3" s="121" t="n"/>
      <c r="C3" s="121" t="n"/>
      <c r="D3" s="121" t="n"/>
      <c r="E3" s="121" t="n"/>
      <c r="F3" s="121" t="n"/>
      <c r="G3" s="121" t="n"/>
      <c r="H3" s="121" t="n"/>
      <c r="I3" s="121" t="n"/>
      <c r="J3" s="121" t="n"/>
      <c r="K3" s="121" t="n"/>
      <c r="L3" s="121" t="n"/>
      <c r="M3" s="121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</row>
    <row r="4" ht="21" customHeight="1" s="122">
      <c r="A4" s="121" t="n"/>
      <c r="B4" s="188" t="inlineStr">
        <is>
          <t>📊  RINGKASAN TARGET &amp; PENCAPAIAN PER PROGRAM — RUPIAH (Rp)</t>
        </is>
      </c>
      <c r="P4" s="121" t="n"/>
      <c r="Q4" s="189" t="inlineStr">
        <is>
          <t>📌 RINGKASAN HARI INI</t>
        </is>
      </c>
      <c r="S4" s="121" t="n"/>
      <c r="T4" s="121" t="n"/>
      <c r="U4" s="121" t="n"/>
      <c r="V4" s="121" t="n"/>
      <c r="W4" s="121" t="n"/>
      <c r="X4" s="121" t="n"/>
      <c r="Y4" s="121" t="n"/>
      <c r="Z4" s="121" t="n"/>
    </row>
    <row r="5" ht="35.25" customHeight="1" s="122">
      <c r="A5" s="121" t="n"/>
      <c r="B5" s="190" t="inlineStr">
        <is>
          <t>No</t>
        </is>
      </c>
      <c r="C5" s="190" t="inlineStr">
        <is>
          <t>Program</t>
        </is>
      </c>
      <c r="D5" s="190" t="inlineStr">
        <is>
          <t>PIC</t>
        </is>
      </c>
      <c r="E5" s="190" t="inlineStr">
        <is>
          <t>Target Harian
(Rp)</t>
        </is>
      </c>
      <c r="F5" s="190" t="inlineStr">
        <is>
          <t>Pencapaian
Hari Ini (Rp)</t>
        </is>
      </c>
      <c r="G5" s="190" t="inlineStr">
        <is>
          <t>% Harian</t>
        </is>
      </c>
      <c r="H5" s="190" t="inlineStr">
        <is>
          <t>Status Harian</t>
        </is>
      </c>
      <c r="I5" s="190" t="inlineStr">
        <is>
          <t>Capaian
Bulan Ini (Rp)</t>
        </is>
      </c>
      <c r="J5" s="190" t="inlineStr">
        <is>
          <t>Target Bulanan
(Rp)</t>
        </is>
      </c>
      <c r="K5" s="190" t="inlineStr">
        <is>
          <t>% Bulanan</t>
        </is>
      </c>
      <c r="L5" s="190" t="inlineStr">
        <is>
          <t>Sisa Target
(Rp)</t>
        </is>
      </c>
      <c r="M5" s="190" t="inlineStr">
        <is>
          <t>Progress
Bar</t>
        </is>
      </c>
      <c r="N5" s="190" t="inlineStr">
        <is>
          <t>Target
Harian (User)</t>
        </is>
      </c>
      <c r="O5" s="190" t="inlineStr">
        <is>
          <t>Capaian
Hari (User)</t>
        </is>
      </c>
      <c r="P5" s="121" t="n"/>
      <c r="Q5" s="191" t="inlineStr">
        <is>
          <t>Tanggal Aktif</t>
        </is>
      </c>
      <c r="R5" s="192">
        <f>TEXT(P1,"DD MMMM YYYY")</f>
        <v/>
      </c>
      <c r="S5" s="121" t="n"/>
      <c r="T5" s="121" t="n"/>
      <c r="U5" s="121" t="n"/>
      <c r="V5" s="121" t="n"/>
      <c r="W5" s="121" t="n"/>
      <c r="X5" s="121" t="n"/>
      <c r="Y5" s="121" t="n"/>
      <c r="Z5" s="121" t="n"/>
    </row>
    <row r="6" ht="19.5" customHeight="1" s="122">
      <c r="A6" s="121" t="n"/>
      <c r="B6" s="193">
        <f>'MASTER DATA'!B5</f>
        <v/>
      </c>
      <c r="C6" s="194">
        <f>'MASTER DATA'!C5</f>
        <v/>
      </c>
      <c r="D6" s="195">
        <f>'MASTER DATA'!D5</f>
        <v/>
      </c>
      <c r="E6" s="196">
        <f>IF('MASTER DATA'!C5="","",'MASTER DATA'!J5)</f>
        <v/>
      </c>
      <c r="F6" s="196">
        <f>IF('MASTER DATA'!C5="","",SUMIFS('INPUT HARIAN'!F4:F503,'INPUT HARIAN'!D4:D503,'MASTER DATA'!C5,'INPUT HARIAN'!C4:C503,P1))</f>
        <v/>
      </c>
      <c r="G6" s="197">
        <f>IF(OR('MASTER DATA'!C5="",E6="",E6=0),"",F6/E6)</f>
        <v/>
      </c>
      <c r="H6" s="195">
        <f>IF('MASTER DATA'!C5="","",IF(G6="","—",IF(G6&gt;=1,"✅ TERCAPAI",IF(G6&gt;=0.5,"⚠️ MENDEKATI","❌ PERLU PERHATIAN"))))</f>
        <v/>
      </c>
      <c r="I6" s="196">
        <f>IF('MASTER DATA'!C5="","",SUMIFS('INPUT HARIAN'!F4:F503,'INPUT HARIAN'!D4:D503,'MASTER DATA'!C5,'INPUT HARIAN'!C4:C503,"&gt;="&amp;DATE(YEAR(P1),MONTH(P1),1),'INPUT HARIAN'!C4:C503,"&lt;="&amp;EOMONTH(P1,0)))</f>
        <v/>
      </c>
      <c r="J6" s="196">
        <f>IF('MASTER DATA'!C5="","",'MASTER DATA'!E5)</f>
        <v/>
      </c>
      <c r="K6" s="197">
        <f>IF(OR('MASTER DATA'!C5="",J6="",J6=0),"",I6/J6)</f>
        <v/>
      </c>
      <c r="L6" s="196">
        <f>IF(OR('MASTER DATA'!C5="",J6=""),"",J6-I6)</f>
        <v/>
      </c>
      <c r="M6" s="198">
        <f>IF(OR('MASTER DATA'!C5="",K6=""),"",REPT("█",MIN(INT(K6*20),20))&amp;" "&amp;TEXT(K6,"0.0%"))</f>
        <v/>
      </c>
      <c r="N6" s="199">
        <f>IF('MASTER DATA'!C5="","",'MASTER DATA'!K5)</f>
        <v/>
      </c>
      <c r="O6" s="200">
        <f>IF('MASTER DATA'!C5="","",SUMIFS('INPUT HARIAN'!G4:G503,'INPUT HARIAN'!D4:D503,'MASTER DATA'!C5,'INPUT HARIAN'!C4:C503,P1))</f>
        <v/>
      </c>
      <c r="P6" s="121" t="n"/>
      <c r="Q6" s="191" t="inlineStr">
        <is>
          <t>Total Target Harian (Rp)</t>
        </is>
      </c>
      <c r="R6" s="201">
        <f>SUMIF(E6:E20,"&lt;&gt;")</f>
        <v/>
      </c>
      <c r="S6" s="121" t="n"/>
      <c r="T6" s="121" t="n"/>
      <c r="U6" s="121" t="n"/>
      <c r="V6" s="121" t="n"/>
      <c r="W6" s="121" t="n"/>
      <c r="X6" s="121" t="n"/>
      <c r="Y6" s="121" t="n"/>
      <c r="Z6" s="121" t="n"/>
    </row>
    <row r="7" ht="19.5" customHeight="1" s="122">
      <c r="A7" s="121" t="n"/>
      <c r="B7" s="202">
        <f>'MASTER DATA'!B6</f>
        <v/>
      </c>
      <c r="C7" s="203">
        <f>'MASTER DATA'!C6</f>
        <v/>
      </c>
      <c r="D7" s="204">
        <f>'MASTER DATA'!D6</f>
        <v/>
      </c>
      <c r="E7" s="205">
        <f>IF('MASTER DATA'!C6="","",'MASTER DATA'!J6)</f>
        <v/>
      </c>
      <c r="F7" s="205">
        <f>IF('MASTER DATA'!C6="","",SUMIFS('INPUT HARIAN'!F4:F503,'INPUT HARIAN'!D4:D503,'MASTER DATA'!C6,'INPUT HARIAN'!C4:C503,P1))</f>
        <v/>
      </c>
      <c r="G7" s="206">
        <f>IF(OR('MASTER DATA'!C6="",E7="",E7=0),"",F7/E7)</f>
        <v/>
      </c>
      <c r="H7" s="204">
        <f>IF('MASTER DATA'!C6="","",IF(G7="","—",IF(G7&gt;=1,"✅ TERCAPAI",IF(G7&gt;=0.5,"⚠️ MENDEKATI","❌ PERLU PERHATIAN"))))</f>
        <v/>
      </c>
      <c r="I7" s="205">
        <f>IF('MASTER DATA'!C6="","",SUMIFS('INPUT HARIAN'!F4:F503,'INPUT HARIAN'!D4:D503,'MASTER DATA'!C6,'INPUT HARIAN'!C4:C503,"&gt;="&amp;DATE(YEAR(P1),MONTH(P1),1),'INPUT HARIAN'!C4:C503,"&lt;="&amp;EOMONTH(P1,0)))</f>
        <v/>
      </c>
      <c r="J7" s="205">
        <f>IF('MASTER DATA'!C6="","",'MASTER DATA'!E6)</f>
        <v/>
      </c>
      <c r="K7" s="206">
        <f>IF(OR('MASTER DATA'!C6="",J7="",J7=0),"",I7/J7)</f>
        <v/>
      </c>
      <c r="L7" s="205">
        <f>IF(OR('MASTER DATA'!C6="",J7=""),"",J7-I7)</f>
        <v/>
      </c>
      <c r="M7" s="207">
        <f>IF(OR('MASTER DATA'!C6="",K7=""),"",REPT("█",MIN(INT(K7*20),20))&amp;" "&amp;TEXT(K7,"0.0%"))</f>
        <v/>
      </c>
      <c r="N7" s="208">
        <f>IF('MASTER DATA'!C6="","",'MASTER DATA'!K6)</f>
        <v/>
      </c>
      <c r="O7" s="209">
        <f>IF('MASTER DATA'!C6="","",SUMIFS('INPUT HARIAN'!G4:G503,'INPUT HARIAN'!D4:D503,'MASTER DATA'!C6,'INPUT HARIAN'!C4:C503,P1))</f>
        <v/>
      </c>
      <c r="P7" s="121" t="n"/>
      <c r="Q7" s="191" t="inlineStr">
        <is>
          <t>Total Capaian Hari Ini (Rp)</t>
        </is>
      </c>
      <c r="R7" s="201">
        <f>SUMIF(F6:F20,"&lt;&gt;")</f>
        <v/>
      </c>
      <c r="S7" s="121" t="n"/>
      <c r="T7" s="121" t="n"/>
      <c r="U7" s="121" t="n"/>
      <c r="V7" s="121" t="n"/>
      <c r="W7" s="121" t="n"/>
      <c r="X7" s="121" t="n"/>
      <c r="Y7" s="121" t="n"/>
      <c r="Z7" s="121" t="n"/>
    </row>
    <row r="8" ht="19.5" customHeight="1" s="122">
      <c r="A8" s="121" t="n"/>
      <c r="B8" s="193">
        <f>'MASTER DATA'!B7</f>
        <v/>
      </c>
      <c r="C8" s="194">
        <f>'MASTER DATA'!C7</f>
        <v/>
      </c>
      <c r="D8" s="195">
        <f>'MASTER DATA'!D7</f>
        <v/>
      </c>
      <c r="E8" s="196">
        <f>IF('MASTER DATA'!C7="","",'MASTER DATA'!J7)</f>
        <v/>
      </c>
      <c r="F8" s="196">
        <f>IF('MASTER DATA'!C7="","",SUMIFS('INPUT HARIAN'!F4:F503,'INPUT HARIAN'!D4:D503,'MASTER DATA'!C7,'INPUT HARIAN'!C4:C503,P1))</f>
        <v/>
      </c>
      <c r="G8" s="197">
        <f>IF(OR('MASTER DATA'!C7="",E8="",E8=0),"",F8/E8)</f>
        <v/>
      </c>
      <c r="H8" s="195">
        <f>IF('MASTER DATA'!C7="","",IF(G8="","—",IF(G8&gt;=1,"✅ TERCAPAI",IF(G8&gt;=0.5,"⚠️ MENDEKATI","❌ PERLU PERHATIAN"))))</f>
        <v/>
      </c>
      <c r="I8" s="196">
        <f>IF('MASTER DATA'!C7="","",SUMIFS('INPUT HARIAN'!F4:F503,'INPUT HARIAN'!D4:D503,'MASTER DATA'!C7,'INPUT HARIAN'!C4:C503,"&gt;="&amp;DATE(YEAR(P1),MONTH(P1),1),'INPUT HARIAN'!C4:C503,"&lt;="&amp;EOMONTH(P1,0)))</f>
        <v/>
      </c>
      <c r="J8" s="196">
        <f>IF('MASTER DATA'!C7="","",'MASTER DATA'!E7)</f>
        <v/>
      </c>
      <c r="K8" s="197">
        <f>IF(OR('MASTER DATA'!C7="",J8="",J8=0),"",I8/J8)</f>
        <v/>
      </c>
      <c r="L8" s="196">
        <f>IF(OR('MASTER DATA'!C7="",J8=""),"",J8-I8)</f>
        <v/>
      </c>
      <c r="M8" s="198">
        <f>IF(OR('MASTER DATA'!C7="",K8=""),"",REPT("█",MIN(INT(K8*20),20))&amp;" "&amp;TEXT(K8,"0.0%"))</f>
        <v/>
      </c>
      <c r="N8" s="199">
        <f>IF('MASTER DATA'!C7="","",'MASTER DATA'!K7)</f>
        <v/>
      </c>
      <c r="O8" s="200">
        <f>IF('MASTER DATA'!C7="","",SUMIFS('INPUT HARIAN'!G4:G503,'INPUT HARIAN'!D4:D503,'MASTER DATA'!C7,'INPUT HARIAN'!C4:C503,P1))</f>
        <v/>
      </c>
      <c r="P8" s="121" t="n"/>
      <c r="Q8" s="191" t="inlineStr">
        <is>
          <t>% Pencapaian Harian</t>
        </is>
      </c>
      <c r="R8" s="210">
        <f>IF(R6=0,"",R7/R6)</f>
        <v/>
      </c>
      <c r="S8" s="121" t="n"/>
      <c r="T8" s="121" t="n"/>
      <c r="U8" s="121" t="n"/>
      <c r="V8" s="121" t="n"/>
      <c r="W8" s="121" t="n"/>
      <c r="X8" s="121" t="n"/>
      <c r="Y8" s="121" t="n"/>
      <c r="Z8" s="121" t="n"/>
    </row>
    <row r="9" ht="19.5" customHeight="1" s="122">
      <c r="A9" s="121" t="n"/>
      <c r="B9" s="202">
        <f>'MASTER DATA'!B8</f>
        <v/>
      </c>
      <c r="C9" s="203">
        <f>'MASTER DATA'!C8</f>
        <v/>
      </c>
      <c r="D9" s="204">
        <f>'MASTER DATA'!D8</f>
        <v/>
      </c>
      <c r="E9" s="205">
        <f>IF('MASTER DATA'!C8="","",'MASTER DATA'!J8)</f>
        <v/>
      </c>
      <c r="F9" s="205">
        <f>IF('MASTER DATA'!C8="","",SUMIFS('INPUT HARIAN'!F4:F503,'INPUT HARIAN'!D4:D503,'MASTER DATA'!C8,'INPUT HARIAN'!C4:C503,P1))</f>
        <v/>
      </c>
      <c r="G9" s="206">
        <f>IF(OR('MASTER DATA'!C8="",E9="",E9=0),"",F9/E9)</f>
        <v/>
      </c>
      <c r="H9" s="204">
        <f>IF('MASTER DATA'!C8="","",IF(G9="","—",IF(G9&gt;=1,"✅ TERCAPAI",IF(G9&gt;=0.5,"⚠️ MENDEKATI","❌ PERLU PERHATIAN"))))</f>
        <v/>
      </c>
      <c r="I9" s="205">
        <f>IF('MASTER DATA'!C8="","",SUMIFS('INPUT HARIAN'!F4:F503,'INPUT HARIAN'!D4:D503,'MASTER DATA'!C8,'INPUT HARIAN'!C4:C503,"&gt;="&amp;DATE(YEAR(P1),MONTH(P1),1),'INPUT HARIAN'!C4:C503,"&lt;="&amp;EOMONTH(P1,0)))</f>
        <v/>
      </c>
      <c r="J9" s="205">
        <f>IF('MASTER DATA'!C8="","",'MASTER DATA'!E8)</f>
        <v/>
      </c>
      <c r="K9" s="206">
        <f>IF(OR('MASTER DATA'!C8="",J9="",J9=0),"",I9/J9)</f>
        <v/>
      </c>
      <c r="L9" s="205">
        <f>IF(OR('MASTER DATA'!C8="",J9=""),"",J9-I9)</f>
        <v/>
      </c>
      <c r="M9" s="207">
        <f>IF(OR('MASTER DATA'!C8="",K9=""),"",REPT("█",MIN(INT(K9*20),20))&amp;" "&amp;TEXT(K9,"0.0%"))</f>
        <v/>
      </c>
      <c r="N9" s="208">
        <f>IF('MASTER DATA'!C8="","",'MASTER DATA'!K8)</f>
        <v/>
      </c>
      <c r="O9" s="209">
        <f>IF('MASTER DATA'!C8="","",SUMIFS('INPUT HARIAN'!G4:G503,'INPUT HARIAN'!D4:D503,'MASTER DATA'!C8,'INPUT HARIAN'!C4:C503,P1))</f>
        <v/>
      </c>
      <c r="P9" s="121" t="n"/>
      <c r="Q9" s="191" t="inlineStr">
        <is>
          <t>Target Bulanan (Rp)</t>
        </is>
      </c>
      <c r="R9" s="201">
        <f>SUMIF(J6:J20,"&lt;&gt;")</f>
        <v/>
      </c>
      <c r="S9" s="121" t="n"/>
      <c r="T9" s="121" t="n"/>
      <c r="U9" s="121" t="n"/>
      <c r="V9" s="121" t="n"/>
      <c r="W9" s="121" t="n"/>
      <c r="X9" s="121" t="n"/>
      <c r="Y9" s="121" t="n"/>
      <c r="Z9" s="121" t="n"/>
    </row>
    <row r="10" ht="19.5" customHeight="1" s="122">
      <c r="A10" s="121" t="n"/>
      <c r="B10" s="193">
        <f>'MASTER DATA'!B9</f>
        <v/>
      </c>
      <c r="C10" s="194">
        <f>'MASTER DATA'!C9</f>
        <v/>
      </c>
      <c r="D10" s="195">
        <f>'MASTER DATA'!D9</f>
        <v/>
      </c>
      <c r="E10" s="196">
        <f>IF('MASTER DATA'!C9="","",'MASTER DATA'!J9)</f>
        <v/>
      </c>
      <c r="F10" s="196">
        <f>IF('MASTER DATA'!C9="","",SUMIFS('INPUT HARIAN'!F4:F503,'INPUT HARIAN'!D4:D503,'MASTER DATA'!C9,'INPUT HARIAN'!C4:C503,P1))</f>
        <v/>
      </c>
      <c r="G10" s="197">
        <f>IF(OR('MASTER DATA'!C9="",E10="",E10=0),"",F10/E10)</f>
        <v/>
      </c>
      <c r="H10" s="195">
        <f>IF('MASTER DATA'!C9="","",IF(G10="","—",IF(G10&gt;=1,"✅ TERCAPAI",IF(G10&gt;=0.5,"⚠️ MENDEKATI","❌ PERLU PERHATIAN"))))</f>
        <v/>
      </c>
      <c r="I10" s="196">
        <f>IF('MASTER DATA'!C9="","",SUMIFS('INPUT HARIAN'!F4:F503,'INPUT HARIAN'!D4:D503,'MASTER DATA'!C9,'INPUT HARIAN'!C4:C503,"&gt;="&amp;DATE(YEAR(P1),MONTH(P1),1),'INPUT HARIAN'!C4:C503,"&lt;="&amp;EOMONTH(P1,0)))</f>
        <v/>
      </c>
      <c r="J10" s="196">
        <f>IF('MASTER DATA'!C9="","",'MASTER DATA'!E9)</f>
        <v/>
      </c>
      <c r="K10" s="197">
        <f>IF(OR('MASTER DATA'!C9="",J10="",J10=0),"",I10/J10)</f>
        <v/>
      </c>
      <c r="L10" s="196">
        <f>IF(OR('MASTER DATA'!C9="",J10=""),"",J10-I10)</f>
        <v/>
      </c>
      <c r="M10" s="198">
        <f>IF(OR('MASTER DATA'!C9="",K10=""),"",REPT("█",MIN(INT(K10*20),20))&amp;" "&amp;TEXT(K10,"0.0%"))</f>
        <v/>
      </c>
      <c r="N10" s="199">
        <f>IF('MASTER DATA'!C9="","",'MASTER DATA'!K9)</f>
        <v/>
      </c>
      <c r="O10" s="200">
        <f>IF('MASTER DATA'!C9="","",SUMIFS('INPUT HARIAN'!G4:G503,'INPUT HARIAN'!D4:D503,'MASTER DATA'!C9,'INPUT HARIAN'!C4:C503,P1))</f>
        <v/>
      </c>
      <c r="P10" s="121" t="n"/>
      <c r="Q10" s="191" t="inlineStr">
        <is>
          <t>Capaian Bulan Ini (Rp)</t>
        </is>
      </c>
      <c r="R10" s="201">
        <f>SUMIF(I6:I20,"&lt;&gt;")</f>
        <v/>
      </c>
      <c r="S10" s="121" t="n"/>
      <c r="T10" s="121" t="n"/>
      <c r="U10" s="121" t="n"/>
      <c r="V10" s="121" t="n"/>
      <c r="W10" s="121" t="n"/>
      <c r="X10" s="121" t="n"/>
      <c r="Y10" s="121" t="n"/>
      <c r="Z10" s="121" t="n"/>
    </row>
    <row r="11" ht="19.5" customHeight="1" s="122">
      <c r="A11" s="121" t="n"/>
      <c r="B11" s="202">
        <f>'MASTER DATA'!B10</f>
        <v/>
      </c>
      <c r="C11" s="203">
        <f>'MASTER DATA'!C10</f>
        <v/>
      </c>
      <c r="D11" s="204">
        <f>'MASTER DATA'!D10</f>
        <v/>
      </c>
      <c r="E11" s="205">
        <f>IF('MASTER DATA'!C10="","",'MASTER DATA'!J10)</f>
        <v/>
      </c>
      <c r="F11" s="205">
        <f>IF('MASTER DATA'!C10="","",SUMIFS('INPUT HARIAN'!F4:F503,'INPUT HARIAN'!D4:D503,'MASTER DATA'!C10,'INPUT HARIAN'!C4:C503,P1))</f>
        <v/>
      </c>
      <c r="G11" s="206">
        <f>IF(OR('MASTER DATA'!C10="",E11="",E11=0),"",F11/E11)</f>
        <v/>
      </c>
      <c r="H11" s="204">
        <f>IF('MASTER DATA'!C10="","",IF(G11="","—",IF(G11&gt;=1,"✅ TERCAPAI",IF(G11&gt;=0.5,"⚠️ MENDEKATI","❌ PERLU PERHATIAN"))))</f>
        <v/>
      </c>
      <c r="I11" s="205">
        <f>IF('MASTER DATA'!C10="","",SUMIFS('INPUT HARIAN'!F4:F503,'INPUT HARIAN'!D4:D503,'MASTER DATA'!C10,'INPUT HARIAN'!C4:C503,"&gt;="&amp;DATE(YEAR(P1),MONTH(P1),1),'INPUT HARIAN'!C4:C503,"&lt;="&amp;EOMONTH(P1,0)))</f>
        <v/>
      </c>
      <c r="J11" s="205">
        <f>IF('MASTER DATA'!C10="","",'MASTER DATA'!E10)</f>
        <v/>
      </c>
      <c r="K11" s="206">
        <f>IF(OR('MASTER DATA'!C10="",J11="",J11=0),"",I11/J11)</f>
        <v/>
      </c>
      <c r="L11" s="205">
        <f>IF(OR('MASTER DATA'!C10="",J11=""),"",J11-I11)</f>
        <v/>
      </c>
      <c r="M11" s="207">
        <f>IF(OR('MASTER DATA'!C10="",K11=""),"",REPT("█",MIN(INT(K11*20),20))&amp;" "&amp;TEXT(K11,"0.0%"))</f>
        <v/>
      </c>
      <c r="N11" s="208">
        <f>IF('MASTER DATA'!C10="","",'MASTER DATA'!K10)</f>
        <v/>
      </c>
      <c r="O11" s="209">
        <f>IF('MASTER DATA'!C10="","",SUMIFS('INPUT HARIAN'!G4:G503,'INPUT HARIAN'!D4:D503,'MASTER DATA'!C10,'INPUT HARIAN'!C4:C503,P1))</f>
        <v/>
      </c>
      <c r="P11" s="121" t="n"/>
      <c r="Q11" s="191" t="inlineStr">
        <is>
          <t>% Capaian Bulanan</t>
        </is>
      </c>
      <c r="R11" s="210">
        <f>IF(R9=0,"",R10/R9)</f>
        <v/>
      </c>
      <c r="S11" s="121" t="n"/>
      <c r="T11" s="121" t="n"/>
      <c r="U11" s="121" t="n"/>
      <c r="V11" s="121" t="n"/>
      <c r="W11" s="121" t="n"/>
      <c r="X11" s="121" t="n"/>
      <c r="Y11" s="121" t="n"/>
      <c r="Z11" s="121" t="n"/>
    </row>
    <row r="12" ht="19.5" customHeight="1" s="122">
      <c r="A12" s="121" t="n"/>
      <c r="B12" s="193">
        <f>'MASTER DATA'!B11</f>
        <v/>
      </c>
      <c r="C12" s="194">
        <f>'MASTER DATA'!C11</f>
        <v/>
      </c>
      <c r="D12" s="195">
        <f>'MASTER DATA'!D11</f>
        <v/>
      </c>
      <c r="E12" s="196">
        <f>IF('MASTER DATA'!C11="","",'MASTER DATA'!J11)</f>
        <v/>
      </c>
      <c r="F12" s="196">
        <f>IF('MASTER DATA'!C11="","",SUMIFS('INPUT HARIAN'!F4:F503,'INPUT HARIAN'!D4:D503,'MASTER DATA'!C11,'INPUT HARIAN'!C4:C503,P1))</f>
        <v/>
      </c>
      <c r="G12" s="197">
        <f>IF(OR('MASTER DATA'!C11="",E12="",E12=0),"",F12/E12)</f>
        <v/>
      </c>
      <c r="H12" s="195">
        <f>IF('MASTER DATA'!C11="","",IF(G12="","—",IF(G12&gt;=1,"✅ TERCAPAI",IF(G12&gt;=0.5,"⚠️ MENDEKATI","❌ PERLU PERHATIAN"))))</f>
        <v/>
      </c>
      <c r="I12" s="196">
        <f>IF('MASTER DATA'!C11="","",SUMIFS('INPUT HARIAN'!F4:F503,'INPUT HARIAN'!D4:D503,'MASTER DATA'!C11,'INPUT HARIAN'!C4:C503,"&gt;="&amp;DATE(YEAR(P1),MONTH(P1),1),'INPUT HARIAN'!C4:C503,"&lt;="&amp;EOMONTH(P1,0)))</f>
        <v/>
      </c>
      <c r="J12" s="196">
        <f>IF('MASTER DATA'!C11="","",'MASTER DATA'!E11)</f>
        <v/>
      </c>
      <c r="K12" s="197">
        <f>IF(OR('MASTER DATA'!C11="",J12="",J12=0),"",I12/J12)</f>
        <v/>
      </c>
      <c r="L12" s="196">
        <f>IF(OR('MASTER DATA'!C11="",J12=""),"",J12-I12)</f>
        <v/>
      </c>
      <c r="M12" s="198">
        <f>IF(OR('MASTER DATA'!C11="",K12=""),"",REPT("█",MIN(INT(K12*20),20))&amp;" "&amp;TEXT(K12,"0.0%"))</f>
        <v/>
      </c>
      <c r="N12" s="199">
        <f>IF('MASTER DATA'!C11="","",'MASTER DATA'!K11)</f>
        <v/>
      </c>
      <c r="O12" s="200">
        <f>IF('MASTER DATA'!C11="","",SUMIFS('INPUT HARIAN'!G4:G503,'INPUT HARIAN'!D4:D503,'MASTER DATA'!C11,'INPUT HARIAN'!C4:C503,P1))</f>
        <v/>
      </c>
      <c r="P12" s="121" t="n"/>
      <c r="Q12" s="191" t="inlineStr">
        <is>
          <t>Jumlah Program Aktif</t>
        </is>
      </c>
      <c r="R12" s="211">
        <f>COUNTIF('MASTER DATA'!C5:C19,"&lt;&gt;")</f>
        <v/>
      </c>
      <c r="S12" s="121" t="n"/>
      <c r="T12" s="121" t="n"/>
      <c r="U12" s="121" t="n"/>
      <c r="V12" s="121" t="n"/>
      <c r="W12" s="121" t="n"/>
      <c r="X12" s="121" t="n"/>
      <c r="Y12" s="121" t="n"/>
      <c r="Z12" s="121" t="n"/>
    </row>
    <row r="13" ht="19.5" customHeight="1" s="122">
      <c r="A13" s="121" t="n"/>
      <c r="B13" s="202">
        <f>'MASTER DATA'!B12</f>
        <v/>
      </c>
      <c r="C13" s="203">
        <f>'MASTER DATA'!C12</f>
        <v/>
      </c>
      <c r="D13" s="204">
        <f>'MASTER DATA'!D12</f>
        <v/>
      </c>
      <c r="E13" s="205">
        <f>IF('MASTER DATA'!C12="","",'MASTER DATA'!J12)</f>
        <v/>
      </c>
      <c r="F13" s="205">
        <f>IF('MASTER DATA'!C12="","",SUMIFS('INPUT HARIAN'!F4:F503,'INPUT HARIAN'!D4:D503,'MASTER DATA'!C12,'INPUT HARIAN'!C4:C503,P1))</f>
        <v/>
      </c>
      <c r="G13" s="206">
        <f>IF(OR('MASTER DATA'!C12="",E13="",E13=0),"",F13/E13)</f>
        <v/>
      </c>
      <c r="H13" s="204">
        <f>IF('MASTER DATA'!C12="","",IF(G13="","—",IF(G13&gt;=1,"✅ TERCAPAI",IF(G13&gt;=0.5,"⚠️ MENDEKATI","❌ PERLU PERHATIAN"))))</f>
        <v/>
      </c>
      <c r="I13" s="205">
        <f>IF('MASTER DATA'!C12="","",SUMIFS('INPUT HARIAN'!F4:F503,'INPUT HARIAN'!D4:D503,'MASTER DATA'!C12,'INPUT HARIAN'!C4:C503,"&gt;="&amp;DATE(YEAR(P1),MONTH(P1),1),'INPUT HARIAN'!C4:C503,"&lt;="&amp;EOMONTH(P1,0)))</f>
        <v/>
      </c>
      <c r="J13" s="205">
        <f>IF('MASTER DATA'!C12="","",'MASTER DATA'!E12)</f>
        <v/>
      </c>
      <c r="K13" s="206">
        <f>IF(OR('MASTER DATA'!C12="",J13="",J13=0),"",I13/J13)</f>
        <v/>
      </c>
      <c r="L13" s="205">
        <f>IF(OR('MASTER DATA'!C12="",J13=""),"",J13-I13)</f>
        <v/>
      </c>
      <c r="M13" s="207">
        <f>IF(OR('MASTER DATA'!C12="",K13=""),"",REPT("█",MIN(INT(K13*20),20))&amp;" "&amp;TEXT(K13,"0.0%"))</f>
        <v/>
      </c>
      <c r="N13" s="208">
        <f>IF('MASTER DATA'!C12="","",'MASTER DATA'!K12)</f>
        <v/>
      </c>
      <c r="O13" s="209">
        <f>IF('MASTER DATA'!C12="","",SUMIFS('INPUT HARIAN'!G4:G503,'INPUT HARIAN'!D4:D503,'MASTER DATA'!C12,'INPUT HARIAN'!C4:C503,P1))</f>
        <v/>
      </c>
      <c r="P13" s="121" t="n"/>
      <c r="Q13" s="191" t="inlineStr">
        <is>
          <t>Program Tercapai Hari Ini</t>
        </is>
      </c>
      <c r="R13" s="211">
        <f>COUNTIF(G6:G20,"&gt;="&amp;1)</f>
        <v/>
      </c>
      <c r="S13" s="121" t="n"/>
      <c r="T13" s="121" t="n"/>
      <c r="U13" s="121" t="n"/>
      <c r="V13" s="121" t="n"/>
      <c r="W13" s="121" t="n"/>
      <c r="X13" s="121" t="n"/>
      <c r="Y13" s="121" t="n"/>
      <c r="Z13" s="121" t="n"/>
    </row>
    <row r="14" ht="19.5" customHeight="1" s="122">
      <c r="A14" s="121" t="n"/>
      <c r="B14" s="193">
        <f>'MASTER DATA'!B13</f>
        <v/>
      </c>
      <c r="C14" s="194">
        <f>'MASTER DATA'!C13</f>
        <v/>
      </c>
      <c r="D14" s="195">
        <f>'MASTER DATA'!D13</f>
        <v/>
      </c>
      <c r="E14" s="196">
        <f>IF('MASTER DATA'!C13="","",'MASTER DATA'!J13)</f>
        <v/>
      </c>
      <c r="F14" s="196">
        <f>IF('MASTER DATA'!C13="","",SUMIFS('INPUT HARIAN'!F4:F503,'INPUT HARIAN'!D4:D503,'MASTER DATA'!C13,'INPUT HARIAN'!C4:C503,P1))</f>
        <v/>
      </c>
      <c r="G14" s="197">
        <f>IF(OR('MASTER DATA'!C13="",E14="",E14=0),"",F14/E14)</f>
        <v/>
      </c>
      <c r="H14" s="195">
        <f>IF('MASTER DATA'!C13="","",IF(G14="","—",IF(G14&gt;=1,"✅ TERCAPAI",IF(G14&gt;=0.5,"⚠️ MENDEKATI","❌ PERLU PERHATIAN"))))</f>
        <v/>
      </c>
      <c r="I14" s="196">
        <f>IF('MASTER DATA'!C13="","",SUMIFS('INPUT HARIAN'!F4:F503,'INPUT HARIAN'!D4:D503,'MASTER DATA'!C13,'INPUT HARIAN'!C4:C503,"&gt;="&amp;DATE(YEAR(P1),MONTH(P1),1),'INPUT HARIAN'!C4:C503,"&lt;="&amp;EOMONTH(P1,0)))</f>
        <v/>
      </c>
      <c r="J14" s="196">
        <f>IF('MASTER DATA'!C13="","",'MASTER DATA'!E13)</f>
        <v/>
      </c>
      <c r="K14" s="197">
        <f>IF(OR('MASTER DATA'!C13="",J14="",J14=0),"",I14/J14)</f>
        <v/>
      </c>
      <c r="L14" s="196">
        <f>IF(OR('MASTER DATA'!C13="",J14=""),"",J14-I14)</f>
        <v/>
      </c>
      <c r="M14" s="198">
        <f>IF(OR('MASTER DATA'!C13="",K14=""),"",REPT("█",MIN(INT(K14*20),20))&amp;" "&amp;TEXT(K14,"0.0%"))</f>
        <v/>
      </c>
      <c r="N14" s="199">
        <f>IF('MASTER DATA'!C13="","",'MASTER DATA'!K13)</f>
        <v/>
      </c>
      <c r="O14" s="200">
        <f>IF('MASTER DATA'!C13="","",SUMIFS('INPUT HARIAN'!G4:G503,'INPUT HARIAN'!D4:D503,'MASTER DATA'!C13,'INPUT HARIAN'!C4:C503,P1))</f>
        <v/>
      </c>
      <c r="P14" s="121" t="n"/>
      <c r="Q14" s="191" t="inlineStr">
        <is>
          <t>Program Belum Tercapai</t>
        </is>
      </c>
      <c r="R14" s="211">
        <f>COUNTIF(G6:G20,"&lt;1")-COUNTBLANK(G6:G20)</f>
        <v/>
      </c>
      <c r="S14" s="121" t="n"/>
      <c r="T14" s="121" t="n"/>
      <c r="U14" s="121" t="n"/>
      <c r="V14" s="121" t="n"/>
      <c r="W14" s="121" t="n"/>
      <c r="X14" s="121" t="n"/>
      <c r="Y14" s="121" t="n"/>
      <c r="Z14" s="121" t="n"/>
    </row>
    <row r="15" ht="19.5" customHeight="1" s="122">
      <c r="A15" s="121" t="n"/>
      <c r="B15" s="202">
        <f>'MASTER DATA'!B14</f>
        <v/>
      </c>
      <c r="C15" s="203">
        <f>'MASTER DATA'!C14</f>
        <v/>
      </c>
      <c r="D15" s="204">
        <f>'MASTER DATA'!D14</f>
        <v/>
      </c>
      <c r="E15" s="205">
        <f>IF('MASTER DATA'!C14="","",'MASTER DATA'!J14)</f>
        <v/>
      </c>
      <c r="F15" s="205">
        <f>IF('MASTER DATA'!C14="","",SUMIFS('INPUT HARIAN'!F4:F503,'INPUT HARIAN'!D4:D503,'MASTER DATA'!C14,'INPUT HARIAN'!C4:C503,P1))</f>
        <v/>
      </c>
      <c r="G15" s="206">
        <f>IF(OR('MASTER DATA'!C14="",E15="",E15=0),"",F15/E15)</f>
        <v/>
      </c>
      <c r="H15" s="204">
        <f>IF('MASTER DATA'!C14="","",IF(G15="","—",IF(G15&gt;=1,"✅ TERCAPAI",IF(G15&gt;=0.5,"⚠️ MENDEKATI","❌ PERLU PERHATIAN"))))</f>
        <v/>
      </c>
      <c r="I15" s="205">
        <f>IF('MASTER DATA'!C14="","",SUMIFS('INPUT HARIAN'!F4:F503,'INPUT HARIAN'!D4:D503,'MASTER DATA'!C14,'INPUT HARIAN'!C4:C503,"&gt;="&amp;DATE(YEAR(P1),MONTH(P1),1),'INPUT HARIAN'!C4:C503,"&lt;="&amp;EOMONTH(P1,0)))</f>
        <v/>
      </c>
      <c r="J15" s="205">
        <f>IF('MASTER DATA'!C14="","",'MASTER DATA'!E14)</f>
        <v/>
      </c>
      <c r="K15" s="206">
        <f>IF(OR('MASTER DATA'!C14="",J15="",J15=0),"",I15/J15)</f>
        <v/>
      </c>
      <c r="L15" s="205">
        <f>IF(OR('MASTER DATA'!C14="",J15=""),"",J15-I15)</f>
        <v/>
      </c>
      <c r="M15" s="207">
        <f>IF(OR('MASTER DATA'!C14="",K15=""),"",REPT("█",MIN(INT(K15*20),20))&amp;" "&amp;TEXT(K15,"0.0%"))</f>
        <v/>
      </c>
      <c r="N15" s="208">
        <f>IF('MASTER DATA'!C14="","",'MASTER DATA'!K14)</f>
        <v/>
      </c>
      <c r="O15" s="209">
        <f>IF('MASTER DATA'!C14="","",SUMIFS('INPUT HARIAN'!G4:G503,'INPUT HARIAN'!D4:D503,'MASTER DATA'!C14,'INPUT HARIAN'!C4:C503,P1))</f>
        <v/>
      </c>
      <c r="P15" s="121" t="n"/>
      <c r="Q15" s="121" t="n"/>
      <c r="R15" s="121" t="n"/>
      <c r="S15" s="121" t="n"/>
      <c r="T15" s="121" t="n"/>
      <c r="U15" s="121" t="n"/>
      <c r="V15" s="121" t="n"/>
      <c r="W15" s="121" t="n"/>
      <c r="X15" s="121" t="n"/>
      <c r="Y15" s="121" t="n"/>
      <c r="Z15" s="121" t="n"/>
    </row>
    <row r="16" ht="19.5" customHeight="1" s="122">
      <c r="A16" s="121" t="n"/>
      <c r="B16" s="193">
        <f>'MASTER DATA'!B15</f>
        <v/>
      </c>
      <c r="C16" s="194">
        <f>'MASTER DATA'!C15</f>
        <v/>
      </c>
      <c r="D16" s="195">
        <f>'MASTER DATA'!D15</f>
        <v/>
      </c>
      <c r="E16" s="196">
        <f>IF('MASTER DATA'!C15="","",'MASTER DATA'!J15)</f>
        <v/>
      </c>
      <c r="F16" s="196">
        <f>IF('MASTER DATA'!C15="","",SUMIFS('INPUT HARIAN'!F4:F503,'INPUT HARIAN'!D4:D503,'MASTER DATA'!C15,'INPUT HARIAN'!C4:C503,P1))</f>
        <v/>
      </c>
      <c r="G16" s="197">
        <f>IF(OR('MASTER DATA'!C15="",E16="",E16=0),"",F16/E16)</f>
        <v/>
      </c>
      <c r="H16" s="195">
        <f>IF('MASTER DATA'!C15="","",IF(G16="","—",IF(G16&gt;=1,"✅ TERCAPAI",IF(G16&gt;=0.5,"⚠️ MENDEKATI","❌ PERLU PERHATIAN"))))</f>
        <v/>
      </c>
      <c r="I16" s="196">
        <f>IF('MASTER DATA'!C15="","",SUMIFS('INPUT HARIAN'!F4:F503,'INPUT HARIAN'!D4:D503,'MASTER DATA'!C15,'INPUT HARIAN'!C4:C503,"&gt;="&amp;DATE(YEAR(P1),MONTH(P1),1),'INPUT HARIAN'!C4:C503,"&lt;="&amp;EOMONTH(P1,0)))</f>
        <v/>
      </c>
      <c r="J16" s="196">
        <f>IF('MASTER DATA'!C15="","",'MASTER DATA'!E15)</f>
        <v/>
      </c>
      <c r="K16" s="197">
        <f>IF(OR('MASTER DATA'!C15="",J16="",J16=0),"",I16/J16)</f>
        <v/>
      </c>
      <c r="L16" s="196">
        <f>IF(OR('MASTER DATA'!C15="",J16=""),"",J16-I16)</f>
        <v/>
      </c>
      <c r="M16" s="198">
        <f>IF(OR('MASTER DATA'!C15="",K16=""),"",REPT("█",MIN(INT(K16*20),20))&amp;" "&amp;TEXT(K16,"0.0%"))</f>
        <v/>
      </c>
      <c r="N16" s="199">
        <f>IF('MASTER DATA'!C15="","",'MASTER DATA'!K15)</f>
        <v/>
      </c>
      <c r="O16" s="200">
        <f>IF('MASTER DATA'!C15="","",SUMIFS('INPUT HARIAN'!G4:G503,'INPUT HARIAN'!D4:D503,'MASTER DATA'!C15,'INPUT HARIAN'!C4:C503,P1))</f>
        <v/>
      </c>
      <c r="P16" s="121" t="n"/>
      <c r="Q16" s="121" t="n"/>
      <c r="R16" s="121" t="n"/>
      <c r="S16" s="121" t="n"/>
      <c r="T16" s="121" t="n"/>
      <c r="U16" s="121" t="n"/>
      <c r="V16" s="121" t="n"/>
      <c r="W16" s="121" t="n"/>
      <c r="X16" s="121" t="n"/>
      <c r="Y16" s="121" t="n"/>
      <c r="Z16" s="121" t="n"/>
    </row>
    <row r="17" ht="19.5" customHeight="1" s="122">
      <c r="A17" s="121" t="n"/>
      <c r="B17" s="202">
        <f>'MASTER DATA'!B16</f>
        <v/>
      </c>
      <c r="C17" s="203">
        <f>'MASTER DATA'!C16</f>
        <v/>
      </c>
      <c r="D17" s="204">
        <f>'MASTER DATA'!D16</f>
        <v/>
      </c>
      <c r="E17" s="205">
        <f>IF('MASTER DATA'!C16="","",'MASTER DATA'!J16)</f>
        <v/>
      </c>
      <c r="F17" s="205">
        <f>IF('MASTER DATA'!C16="","",SUMIFS('INPUT HARIAN'!F4:F503,'INPUT HARIAN'!D4:D503,'MASTER DATA'!C16,'INPUT HARIAN'!C4:C503,P1))</f>
        <v/>
      </c>
      <c r="G17" s="206">
        <f>IF(OR('MASTER DATA'!C16="",E17="",E17=0),"",F17/E17)</f>
        <v/>
      </c>
      <c r="H17" s="204">
        <f>IF('MASTER DATA'!C16="","",IF(G17="","—",IF(G17&gt;=1,"✅ TERCAPAI",IF(G17&gt;=0.5,"⚠️ MENDEKATI","❌ PERLU PERHATIAN"))))</f>
        <v/>
      </c>
      <c r="I17" s="205">
        <f>IF('MASTER DATA'!C16="","",SUMIFS('INPUT HARIAN'!F4:F503,'INPUT HARIAN'!D4:D503,'MASTER DATA'!C16,'INPUT HARIAN'!C4:C503,"&gt;="&amp;DATE(YEAR(P1),MONTH(P1),1),'INPUT HARIAN'!C4:C503,"&lt;="&amp;EOMONTH(P1,0)))</f>
        <v/>
      </c>
      <c r="J17" s="205">
        <f>IF('MASTER DATA'!C16="","",'MASTER DATA'!E16)</f>
        <v/>
      </c>
      <c r="K17" s="206">
        <f>IF(OR('MASTER DATA'!C16="",J17="",J17=0),"",I17/J17)</f>
        <v/>
      </c>
      <c r="L17" s="205">
        <f>IF(OR('MASTER DATA'!C16="",J17=""),"",J17-I17)</f>
        <v/>
      </c>
      <c r="M17" s="207">
        <f>IF(OR('MASTER DATA'!C16="",K17=""),"",REPT("█",MIN(INT(K17*20),20))&amp;" "&amp;TEXT(K17,"0.0%"))</f>
        <v/>
      </c>
      <c r="N17" s="208">
        <f>IF('MASTER DATA'!C16="","",'MASTER DATA'!K16)</f>
        <v/>
      </c>
      <c r="O17" s="209">
        <f>IF('MASTER DATA'!C16="","",SUMIFS('INPUT HARIAN'!G4:G503,'INPUT HARIAN'!D4:D503,'MASTER DATA'!C16,'INPUT HARIAN'!C4:C503,P1))</f>
        <v/>
      </c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</row>
    <row r="18" ht="19.5" customHeight="1" s="122">
      <c r="A18" s="121" t="n"/>
      <c r="B18" s="193">
        <f>'MASTER DATA'!B17</f>
        <v/>
      </c>
      <c r="C18" s="194">
        <f>'MASTER DATA'!C17</f>
        <v/>
      </c>
      <c r="D18" s="195">
        <f>'MASTER DATA'!D17</f>
        <v/>
      </c>
      <c r="E18" s="196">
        <f>IF('MASTER DATA'!C17="","",'MASTER DATA'!J17)</f>
        <v/>
      </c>
      <c r="F18" s="196">
        <f>IF('MASTER DATA'!C17="","",SUMIFS('INPUT HARIAN'!F4:F503,'INPUT HARIAN'!D4:D503,'MASTER DATA'!C17,'INPUT HARIAN'!C4:C503,P1))</f>
        <v/>
      </c>
      <c r="G18" s="197">
        <f>IF(OR('MASTER DATA'!C17="",E18="",E18=0),"",F18/E18)</f>
        <v/>
      </c>
      <c r="H18" s="195">
        <f>IF('MASTER DATA'!C17="","",IF(G18="","—",IF(G18&gt;=1,"✅ TERCAPAI",IF(G18&gt;=0.5,"⚠️ MENDEKATI","❌ PERLU PERHATIAN"))))</f>
        <v/>
      </c>
      <c r="I18" s="196">
        <f>IF('MASTER DATA'!C17="","",SUMIFS('INPUT HARIAN'!F4:F503,'INPUT HARIAN'!D4:D503,'MASTER DATA'!C17,'INPUT HARIAN'!C4:C503,"&gt;="&amp;DATE(YEAR(P1),MONTH(P1),1),'INPUT HARIAN'!C4:C503,"&lt;="&amp;EOMONTH(P1,0)))</f>
        <v/>
      </c>
      <c r="J18" s="196">
        <f>IF('MASTER DATA'!C17="","",'MASTER DATA'!E17)</f>
        <v/>
      </c>
      <c r="K18" s="197">
        <f>IF(OR('MASTER DATA'!C17="",J18="",J18=0),"",I18/J18)</f>
        <v/>
      </c>
      <c r="L18" s="196">
        <f>IF(OR('MASTER DATA'!C17="",J18=""),"",J18-I18)</f>
        <v/>
      </c>
      <c r="M18" s="198">
        <f>IF(OR('MASTER DATA'!C17="",K18=""),"",REPT("█",MIN(INT(K18*20),20))&amp;" "&amp;TEXT(K18,"0.0%"))</f>
        <v/>
      </c>
      <c r="N18" s="199">
        <f>IF('MASTER DATA'!C17="","",'MASTER DATA'!K17)</f>
        <v/>
      </c>
      <c r="O18" s="200">
        <f>IF('MASTER DATA'!C17="","",SUMIFS('INPUT HARIAN'!G4:G503,'INPUT HARIAN'!D4:D503,'MASTER DATA'!C17,'INPUT HARIAN'!C4:C503,P1))</f>
        <v/>
      </c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</row>
    <row r="19" ht="19.5" customHeight="1" s="122">
      <c r="A19" s="121" t="n"/>
      <c r="B19" s="202">
        <f>'MASTER DATA'!B18</f>
        <v/>
      </c>
      <c r="C19" s="203">
        <f>'MASTER DATA'!C18</f>
        <v/>
      </c>
      <c r="D19" s="204">
        <f>'MASTER DATA'!D18</f>
        <v/>
      </c>
      <c r="E19" s="205">
        <f>IF('MASTER DATA'!C18="","",'MASTER DATA'!J18)</f>
        <v/>
      </c>
      <c r="F19" s="205">
        <f>IF('MASTER DATA'!C18="","",SUMIFS('INPUT HARIAN'!F4:F503,'INPUT HARIAN'!D4:D503,'MASTER DATA'!C18,'INPUT HARIAN'!C4:C503,P1))</f>
        <v/>
      </c>
      <c r="G19" s="206">
        <f>IF(OR('MASTER DATA'!C18="",E19="",E19=0),"",F19/E19)</f>
        <v/>
      </c>
      <c r="H19" s="204">
        <f>IF('MASTER DATA'!C18="","",IF(G19="","—",IF(G19&gt;=1,"✅ TERCAPAI",IF(G19&gt;=0.5,"⚠️ MENDEKATI","❌ PERLU PERHATIAN"))))</f>
        <v/>
      </c>
      <c r="I19" s="205">
        <f>IF('MASTER DATA'!C18="","",SUMIFS('INPUT HARIAN'!F4:F503,'INPUT HARIAN'!D4:D503,'MASTER DATA'!C18,'INPUT HARIAN'!C4:C503,"&gt;="&amp;DATE(YEAR(P1),MONTH(P1),1),'INPUT HARIAN'!C4:C503,"&lt;="&amp;EOMONTH(P1,0)))</f>
        <v/>
      </c>
      <c r="J19" s="205">
        <f>IF('MASTER DATA'!C18="","",'MASTER DATA'!E18)</f>
        <v/>
      </c>
      <c r="K19" s="206">
        <f>IF(OR('MASTER DATA'!C18="",J19="",J19=0),"",I19/J19)</f>
        <v/>
      </c>
      <c r="L19" s="205">
        <f>IF(OR('MASTER DATA'!C18="",J19=""),"",J19-I19)</f>
        <v/>
      </c>
      <c r="M19" s="207">
        <f>IF(OR('MASTER DATA'!C18="",K19=""),"",REPT("█",MIN(INT(K19*20),20))&amp;" "&amp;TEXT(K19,"0.0%"))</f>
        <v/>
      </c>
      <c r="N19" s="208">
        <f>IF('MASTER DATA'!C18="","",'MASTER DATA'!K18)</f>
        <v/>
      </c>
      <c r="O19" s="209">
        <f>IF('MASTER DATA'!C18="","",SUMIFS('INPUT HARIAN'!G4:G503,'INPUT HARIAN'!D4:D503,'MASTER DATA'!C18,'INPUT HARIAN'!C4:C503,P1))</f>
        <v/>
      </c>
      <c r="P19" s="121" t="n"/>
      <c r="Q19" s="121" t="n"/>
      <c r="R19" s="121" t="n"/>
      <c r="S19" s="121" t="n"/>
      <c r="T19" s="121" t="n"/>
      <c r="U19" s="121" t="n"/>
      <c r="V19" s="121" t="n"/>
      <c r="W19" s="121" t="n"/>
      <c r="X19" s="121" t="n"/>
      <c r="Y19" s="121" t="n"/>
      <c r="Z19" s="121" t="n"/>
    </row>
    <row r="20" ht="19.5" customHeight="1" s="122">
      <c r="A20" s="121" t="n"/>
      <c r="B20" s="193">
        <f>'MASTER DATA'!B19</f>
        <v/>
      </c>
      <c r="C20" s="194">
        <f>'MASTER DATA'!C19</f>
        <v/>
      </c>
      <c r="D20" s="195">
        <f>'MASTER DATA'!D19</f>
        <v/>
      </c>
      <c r="E20" s="196">
        <f>IF('MASTER DATA'!C19="","",'MASTER DATA'!J19)</f>
        <v/>
      </c>
      <c r="F20" s="196">
        <f>IF('MASTER DATA'!C19="","",SUMIFS('INPUT HARIAN'!F4:F503,'INPUT HARIAN'!D4:D503,'MASTER DATA'!C19,'INPUT HARIAN'!C4:C503,P1))</f>
        <v/>
      </c>
      <c r="G20" s="197">
        <f>IF(OR('MASTER DATA'!C19="",E20="",E20=0),"",F20/E20)</f>
        <v/>
      </c>
      <c r="H20" s="195">
        <f>IF('MASTER DATA'!C19="","",IF(G20="","—",IF(G20&gt;=1,"✅ TERCAPAI",IF(G20&gt;=0.5,"⚠️ MENDEKATI","❌ PERLU PERHATIAN"))))</f>
        <v/>
      </c>
      <c r="I20" s="196">
        <f>IF('MASTER DATA'!C19="","",SUMIFS('INPUT HARIAN'!F4:F503,'INPUT HARIAN'!D4:D503,'MASTER DATA'!C19,'INPUT HARIAN'!C4:C503,"&gt;="&amp;DATE(YEAR(P1),MONTH(P1),1),'INPUT HARIAN'!C4:C503,"&lt;="&amp;EOMONTH(P1,0)))</f>
        <v/>
      </c>
      <c r="J20" s="196">
        <f>IF('MASTER DATA'!C19="","",'MASTER DATA'!E19)</f>
        <v/>
      </c>
      <c r="K20" s="197">
        <f>IF(OR('MASTER DATA'!C19="",J20="",J20=0),"",I20/J20)</f>
        <v/>
      </c>
      <c r="L20" s="196">
        <f>IF(OR('MASTER DATA'!C19="",J20=""),"",J20-I20)</f>
        <v/>
      </c>
      <c r="M20" s="198">
        <f>IF(OR('MASTER DATA'!C19="",K20=""),"",REPT("█",MIN(INT(K20*20),20))&amp;" "&amp;TEXT(K20,"0.0%"))</f>
        <v/>
      </c>
      <c r="N20" s="199">
        <f>IF('MASTER DATA'!C19="","",'MASTER DATA'!K19)</f>
        <v/>
      </c>
      <c r="O20" s="200">
        <f>IF('MASTER DATA'!C19="","",SUMIFS('INPUT HARIAN'!G4:G503,'INPUT HARIAN'!D4:D503,'MASTER DATA'!C19,'INPUT HARIAN'!C4:C503,P1))</f>
        <v/>
      </c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</row>
    <row r="21" ht="21.75" customHeight="1" s="122">
      <c r="A21" s="121" t="n"/>
      <c r="B21" s="212" t="inlineStr">
        <is>
          <t>TOTAL KESELURUHAN</t>
        </is>
      </c>
      <c r="C21" s="213" t="n"/>
      <c r="D21" s="213" t="n"/>
      <c r="E21" s="214">
        <f>SUMIF(E6:E20,"&lt;&gt;")</f>
        <v/>
      </c>
      <c r="F21" s="214">
        <f>SUMIF(F6:F20,"&lt;&gt;")</f>
        <v/>
      </c>
      <c r="G21" s="215">
        <f>IF(E21=0,"",F21/E21)</f>
        <v/>
      </c>
      <c r="H21" s="216" t="n"/>
      <c r="I21" s="214">
        <f>SUMIF(I6:I20,"&lt;&gt;")</f>
        <v/>
      </c>
      <c r="J21" s="214">
        <f>SUMIF(J6:J20,"&lt;&gt;")</f>
        <v/>
      </c>
      <c r="K21" s="215">
        <f>IF(J21=0,"",I21/J21)</f>
        <v/>
      </c>
      <c r="L21" s="214">
        <f>SUMIF(L6:L20,"&lt;&gt;")</f>
        <v/>
      </c>
      <c r="M21" s="216" t="n"/>
      <c r="N21" s="217">
        <f>SUMIF(N6:N20,"&lt;&gt;")</f>
        <v/>
      </c>
      <c r="O21" s="218">
        <f>SUMIF(O6:O20,"&lt;&gt;")</f>
        <v/>
      </c>
      <c r="P21" s="121" t="n"/>
      <c r="Q21" s="121" t="n"/>
      <c r="R21" s="121" t="n"/>
      <c r="S21" s="121" t="n"/>
      <c r="T21" s="121" t="n"/>
      <c r="U21" s="121" t="n"/>
      <c r="V21" s="121" t="n"/>
      <c r="W21" s="121" t="n"/>
      <c r="X21" s="121" t="n"/>
      <c r="Y21" s="121" t="n"/>
      <c r="Z21" s="121" t="n"/>
    </row>
    <row r="22" ht="15.75" customHeight="1" s="122">
      <c r="A22" s="121" t="n"/>
      <c r="B22" s="121" t="n"/>
      <c r="C22" s="121" t="n"/>
      <c r="D22" s="121" t="n"/>
      <c r="E22" s="121" t="n"/>
      <c r="F22" s="121" t="n"/>
      <c r="G22" s="121" t="n"/>
      <c r="H22" s="121" t="n"/>
      <c r="I22" s="121" t="n"/>
      <c r="J22" s="121" t="n"/>
      <c r="K22" s="121" t="n"/>
      <c r="L22" s="121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</row>
    <row r="23" ht="15.75" customHeight="1" s="122">
      <c r="A23" s="121" t="n"/>
      <c r="B23" s="121" t="n"/>
      <c r="C23" s="121" t="n"/>
      <c r="D23" s="121" t="n"/>
      <c r="E23" s="121" t="n"/>
      <c r="F23" s="121" t="n"/>
      <c r="G23" s="121" t="n"/>
      <c r="H23" s="121" t="n"/>
      <c r="I23" s="121" t="n"/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</row>
    <row r="24" ht="25.5" customHeight="1" s="122">
      <c r="A24" s="121" t="n"/>
      <c r="B24" s="188" t="inlineStr">
        <is>
          <t>📅  REKAP PER TANGGAL DIPILIH — RUPIAH (Rp)</t>
        </is>
      </c>
      <c r="P24" s="121" t="n"/>
      <c r="Q24" s="121" t="n"/>
      <c r="R24" s="121" t="n"/>
      <c r="S24" s="121" t="n"/>
      <c r="T24" s="121" t="n"/>
      <c r="U24" s="121" t="n"/>
      <c r="V24" s="121" t="n"/>
      <c r="W24" s="121" t="n"/>
      <c r="X24" s="121" t="n"/>
      <c r="Y24" s="121" t="n"/>
      <c r="Z24" s="121" t="n"/>
    </row>
    <row r="25" ht="21.75" customHeight="1" s="122">
      <c r="A25" s="121" t="n"/>
      <c r="B25" s="219" t="inlineStr">
        <is>
          <t>🔵 Pilih Tanggal →</t>
        </is>
      </c>
      <c r="C25" s="213" t="n"/>
      <c r="D25" s="121" t="n"/>
      <c r="E25" s="220">
        <f>P1</f>
        <v/>
      </c>
      <c r="F25" s="221" t="n"/>
      <c r="G25" s="121" t="n"/>
      <c r="H25" s="121" t="n"/>
      <c r="I25" s="121" t="n"/>
      <c r="J25" s="121" t="n"/>
      <c r="K25" s="121" t="n"/>
      <c r="L25" s="121" t="n"/>
      <c r="M25" s="121" t="n"/>
      <c r="N25" s="121" t="n"/>
      <c r="O25" s="121" t="n"/>
      <c r="P25" s="121" t="n"/>
      <c r="Q25" s="121" t="n"/>
      <c r="R25" s="121" t="n"/>
      <c r="S25" s="121" t="n"/>
      <c r="T25" s="121" t="n"/>
      <c r="U25" s="121" t="n"/>
      <c r="V25" s="121" t="n"/>
      <c r="W25" s="121" t="n"/>
      <c r="X25" s="121" t="n"/>
      <c r="Y25" s="121" t="n"/>
      <c r="Z25" s="121" t="n"/>
    </row>
    <row r="26" ht="36" customHeight="1" s="122">
      <c r="A26" s="121" t="n"/>
      <c r="B26" s="190" t="inlineStr">
        <is>
          <t>No</t>
        </is>
      </c>
      <c r="C26" s="190" t="inlineStr">
        <is>
          <t>Program</t>
        </is>
      </c>
      <c r="D26" s="190" t="inlineStr">
        <is>
          <t>PIC</t>
        </is>
      </c>
      <c r="E26" s="190" t="inlineStr">
        <is>
          <t>Target Harian
(Rp)</t>
        </is>
      </c>
      <c r="F26" s="190" t="inlineStr">
        <is>
          <t>Pencapaian
(Rp)</t>
        </is>
      </c>
      <c r="G26" s="190" t="inlineStr">
        <is>
          <t>% Harian</t>
        </is>
      </c>
      <c r="H26" s="190" t="inlineStr">
        <is>
          <t>Status</t>
        </is>
      </c>
      <c r="I26" s="190" t="inlineStr">
        <is>
          <t>Target
Harian (User)</t>
        </is>
      </c>
      <c r="J26" s="190" t="inlineStr">
        <is>
          <t>Capaian
(User)</t>
        </is>
      </c>
      <c r="K26" s="190" t="inlineStr">
        <is>
          <t>% User</t>
        </is>
      </c>
      <c r="L26" s="190" t="inlineStr">
        <is>
          <t>Catatan
(opsional)</t>
        </is>
      </c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</row>
    <row r="27" ht="19.5" customHeight="1" s="122">
      <c r="A27" s="121" t="n"/>
      <c r="B27" s="193">
        <f>'MASTER DATA'!B5</f>
        <v/>
      </c>
      <c r="C27" s="194">
        <f>'MASTER DATA'!C5</f>
        <v/>
      </c>
      <c r="D27" s="195">
        <f>'MASTER DATA'!D5</f>
        <v/>
      </c>
      <c r="E27" s="196">
        <f>IF('MASTER DATA'!C5="","",'MASTER DATA'!J5)</f>
        <v/>
      </c>
      <c r="F27" s="196">
        <f>IF('MASTER DATA'!C5="","",SUMIFS('INPUT HARIAN'!F4:F503,'INPUT HARIAN'!D4:D503,'MASTER DATA'!C5,'INPUT HARIAN'!C4:C503,E25))</f>
        <v/>
      </c>
      <c r="G27" s="197">
        <f>IF(OR('MASTER DATA'!C5="",E27="",E27=0),"",F27/E27)</f>
        <v/>
      </c>
      <c r="H27" s="195">
        <f>IF('MASTER DATA'!C5="","",IF(G27="","—",IF(G27&gt;=1,"✅ TERCAPAI",IF(G27&gt;=0.5,"⚠️ MENDEKATI","❌ PERLU PERHATIAN"))))</f>
        <v/>
      </c>
      <c r="I27" s="199">
        <f>IF('MASTER DATA'!C5="","",'MASTER DATA'!K5)</f>
        <v/>
      </c>
      <c r="J27" s="200">
        <f>IF('MASTER DATA'!C5="","",SUMIFS('INPUT HARIAN'!G4:G503,'INPUT HARIAN'!D4:D503,'MASTER DATA'!C5,'INPUT HARIAN'!C4:C503,E25))</f>
        <v/>
      </c>
      <c r="K27" s="197">
        <f>IF(OR('MASTER DATA'!C5="",I27="",I27=0),"",J27/I27)</f>
        <v/>
      </c>
      <c r="L27" s="222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</row>
    <row r="28" ht="19.5" customHeight="1" s="122">
      <c r="A28" s="121" t="n"/>
      <c r="B28" s="202">
        <f>'MASTER DATA'!B6</f>
        <v/>
      </c>
      <c r="C28" s="203">
        <f>'MASTER DATA'!C6</f>
        <v/>
      </c>
      <c r="D28" s="204">
        <f>'MASTER DATA'!D6</f>
        <v/>
      </c>
      <c r="E28" s="205">
        <f>IF('MASTER DATA'!C6="","",'MASTER DATA'!J6)</f>
        <v/>
      </c>
      <c r="F28" s="205">
        <f>IF('MASTER DATA'!C6="","",SUMIFS('INPUT HARIAN'!F4:F503,'INPUT HARIAN'!D4:D503,'MASTER DATA'!C6,'INPUT HARIAN'!C4:C503,E25))</f>
        <v/>
      </c>
      <c r="G28" s="206">
        <f>IF(OR('MASTER DATA'!C6="",E28="",E28=0),"",F28/E28)</f>
        <v/>
      </c>
      <c r="H28" s="204">
        <f>IF('MASTER DATA'!C6="","",IF(G28="","—",IF(G28&gt;=1,"✅ TERCAPAI",IF(G28&gt;=0.5,"⚠️ MENDEKATI","❌ PERLU PERHATIAN"))))</f>
        <v/>
      </c>
      <c r="I28" s="208">
        <f>IF('MASTER DATA'!C6="","",'MASTER DATA'!K6)</f>
        <v/>
      </c>
      <c r="J28" s="209">
        <f>IF('MASTER DATA'!C6="","",SUMIFS('INPUT HARIAN'!G4:G503,'INPUT HARIAN'!D4:D503,'MASTER DATA'!C6,'INPUT HARIAN'!C4:C503,E25))</f>
        <v/>
      </c>
      <c r="K28" s="206">
        <f>IF(OR('MASTER DATA'!C6="",I28="",I28=0),"",J28/I28)</f>
        <v/>
      </c>
      <c r="L28" s="223" t="n"/>
      <c r="M28" s="121" t="n"/>
      <c r="N28" s="121" t="n"/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</row>
    <row r="29" ht="19.5" customHeight="1" s="122">
      <c r="A29" s="121" t="n"/>
      <c r="B29" s="193">
        <f>'MASTER DATA'!B7</f>
        <v/>
      </c>
      <c r="C29" s="194">
        <f>'MASTER DATA'!C7</f>
        <v/>
      </c>
      <c r="D29" s="195">
        <f>'MASTER DATA'!D7</f>
        <v/>
      </c>
      <c r="E29" s="196">
        <f>IF('MASTER DATA'!C7="","",'MASTER DATA'!J7)</f>
        <v/>
      </c>
      <c r="F29" s="196">
        <f>IF('MASTER DATA'!C7="","",SUMIFS('INPUT HARIAN'!F4:F503,'INPUT HARIAN'!D4:D503,'MASTER DATA'!C7,'INPUT HARIAN'!C4:C503,E25))</f>
        <v/>
      </c>
      <c r="G29" s="197">
        <f>IF(OR('MASTER DATA'!C7="",E29="",E29=0),"",F29/E29)</f>
        <v/>
      </c>
      <c r="H29" s="195">
        <f>IF('MASTER DATA'!C7="","",IF(G29="","—",IF(G29&gt;=1,"✅ TERCAPAI",IF(G29&gt;=0.5,"⚠️ MENDEKATI","❌ PERLU PERHATIAN"))))</f>
        <v/>
      </c>
      <c r="I29" s="199">
        <f>IF('MASTER DATA'!C7="","",'MASTER DATA'!K7)</f>
        <v/>
      </c>
      <c r="J29" s="200">
        <f>IF('MASTER DATA'!C7="","",SUMIFS('INPUT HARIAN'!G4:G503,'INPUT HARIAN'!D4:D503,'MASTER DATA'!C7,'INPUT HARIAN'!C4:C503,E25))</f>
        <v/>
      </c>
      <c r="K29" s="197">
        <f>IF(OR('MASTER DATA'!C7="",I29="",I29=0),"",J29/I29)</f>
        <v/>
      </c>
      <c r="L29" s="222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</row>
    <row r="30" ht="19.5" customHeight="1" s="122">
      <c r="A30" s="121" t="n"/>
      <c r="B30" s="202">
        <f>'MASTER DATA'!B8</f>
        <v/>
      </c>
      <c r="C30" s="203">
        <f>'MASTER DATA'!C8</f>
        <v/>
      </c>
      <c r="D30" s="204">
        <f>'MASTER DATA'!D8</f>
        <v/>
      </c>
      <c r="E30" s="205">
        <f>IF('MASTER DATA'!C8="","",'MASTER DATA'!J8)</f>
        <v/>
      </c>
      <c r="F30" s="205">
        <f>IF('MASTER DATA'!C8="","",SUMIFS('INPUT HARIAN'!F4:F503,'INPUT HARIAN'!D4:D503,'MASTER DATA'!C8,'INPUT HARIAN'!C4:C503,E25))</f>
        <v/>
      </c>
      <c r="G30" s="206">
        <f>IF(OR('MASTER DATA'!C8="",E30="",E30=0),"",F30/E30)</f>
        <v/>
      </c>
      <c r="H30" s="204">
        <f>IF('MASTER DATA'!C8="","",IF(G30="","—",IF(G30&gt;=1,"✅ TERCAPAI",IF(G30&gt;=0.5,"⚠️ MENDEKATI","❌ PERLU PERHATIAN"))))</f>
        <v/>
      </c>
      <c r="I30" s="208">
        <f>IF('MASTER DATA'!C8="","",'MASTER DATA'!K8)</f>
        <v/>
      </c>
      <c r="J30" s="209">
        <f>IF('MASTER DATA'!C8="","",SUMIFS('INPUT HARIAN'!G4:G503,'INPUT HARIAN'!D4:D503,'MASTER DATA'!C8,'INPUT HARIAN'!C4:C503,E25))</f>
        <v/>
      </c>
      <c r="K30" s="206">
        <f>IF(OR('MASTER DATA'!C8="",I30="",I30=0),"",J30/I30)</f>
        <v/>
      </c>
      <c r="L30" s="223" t="n"/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</row>
    <row r="31" ht="19.5" customHeight="1" s="122">
      <c r="A31" s="121" t="n"/>
      <c r="B31" s="193">
        <f>'MASTER DATA'!B9</f>
        <v/>
      </c>
      <c r="C31" s="194">
        <f>'MASTER DATA'!C9</f>
        <v/>
      </c>
      <c r="D31" s="195">
        <f>'MASTER DATA'!D9</f>
        <v/>
      </c>
      <c r="E31" s="196">
        <f>IF('MASTER DATA'!C9="","",'MASTER DATA'!J9)</f>
        <v/>
      </c>
      <c r="F31" s="196">
        <f>IF('MASTER DATA'!C9="","",SUMIFS('INPUT HARIAN'!F4:F503,'INPUT HARIAN'!D4:D503,'MASTER DATA'!C9,'INPUT HARIAN'!C4:C503,E25))</f>
        <v/>
      </c>
      <c r="G31" s="197">
        <f>IF(OR('MASTER DATA'!C9="",E31="",E31=0),"",F31/E31)</f>
        <v/>
      </c>
      <c r="H31" s="195">
        <f>IF('MASTER DATA'!C9="","",IF(G31="","—",IF(G31&gt;=1,"✅ TERCAPAI",IF(G31&gt;=0.5,"⚠️ MENDEKATI","❌ PERLU PERHATIAN"))))</f>
        <v/>
      </c>
      <c r="I31" s="199">
        <f>IF('MASTER DATA'!C9="","",'MASTER DATA'!K9)</f>
        <v/>
      </c>
      <c r="J31" s="200">
        <f>IF('MASTER DATA'!C9="","",SUMIFS('INPUT HARIAN'!G4:G503,'INPUT HARIAN'!D4:D503,'MASTER DATA'!C9,'INPUT HARIAN'!C4:C503,E25))</f>
        <v/>
      </c>
      <c r="K31" s="197">
        <f>IF(OR('MASTER DATA'!C9="",I31="",I31=0),"",J31/I31)</f>
        <v/>
      </c>
      <c r="L31" s="222" t="n"/>
      <c r="M31" s="121" t="n"/>
      <c r="N31" s="121" t="n"/>
      <c r="O31" s="121" t="n"/>
      <c r="P31" s="121" t="n"/>
      <c r="Q31" s="121" t="n"/>
      <c r="R31" s="121" t="n"/>
      <c r="S31" s="121" t="n"/>
      <c r="T31" s="121" t="n"/>
      <c r="U31" s="121" t="n"/>
      <c r="V31" s="121" t="n"/>
      <c r="W31" s="121" t="n"/>
      <c r="X31" s="121" t="n"/>
      <c r="Y31" s="121" t="n"/>
      <c r="Z31" s="121" t="n"/>
    </row>
    <row r="32" ht="19.5" customHeight="1" s="122">
      <c r="A32" s="121" t="n"/>
      <c r="B32" s="202">
        <f>'MASTER DATA'!B10</f>
        <v/>
      </c>
      <c r="C32" s="203">
        <f>'MASTER DATA'!C10</f>
        <v/>
      </c>
      <c r="D32" s="204">
        <f>'MASTER DATA'!D10</f>
        <v/>
      </c>
      <c r="E32" s="205">
        <f>IF('MASTER DATA'!C10="","",'MASTER DATA'!J10)</f>
        <v/>
      </c>
      <c r="F32" s="205">
        <f>IF('MASTER DATA'!C10="","",SUMIFS('INPUT HARIAN'!F4:F503,'INPUT HARIAN'!D4:D503,'MASTER DATA'!C10,'INPUT HARIAN'!C4:C503,E25))</f>
        <v/>
      </c>
      <c r="G32" s="206">
        <f>IF(OR('MASTER DATA'!C10="",E32="",E32=0),"",F32/E32)</f>
        <v/>
      </c>
      <c r="H32" s="204">
        <f>IF('MASTER DATA'!C10="","",IF(G32="","—",IF(G32&gt;=1,"✅ TERCAPAI",IF(G32&gt;=0.5,"⚠️ MENDEKATI","❌ PERLU PERHATIAN"))))</f>
        <v/>
      </c>
      <c r="I32" s="208">
        <f>IF('MASTER DATA'!C10="","",'MASTER DATA'!K10)</f>
        <v/>
      </c>
      <c r="J32" s="209">
        <f>IF('MASTER DATA'!C10="","",SUMIFS('INPUT HARIAN'!G4:G503,'INPUT HARIAN'!D4:D503,'MASTER DATA'!C10,'INPUT HARIAN'!C4:C503,E25))</f>
        <v/>
      </c>
      <c r="K32" s="206">
        <f>IF(OR('MASTER DATA'!C10="",I32="",I32=0),"",J32/I32)</f>
        <v/>
      </c>
      <c r="L32" s="223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</row>
    <row r="33" ht="19.5" customHeight="1" s="122">
      <c r="A33" s="121" t="n"/>
      <c r="B33" s="193">
        <f>'MASTER DATA'!B11</f>
        <v/>
      </c>
      <c r="C33" s="194">
        <f>'MASTER DATA'!C11</f>
        <v/>
      </c>
      <c r="D33" s="195">
        <f>'MASTER DATA'!D11</f>
        <v/>
      </c>
      <c r="E33" s="196">
        <f>IF('MASTER DATA'!C11="","",'MASTER DATA'!J11)</f>
        <v/>
      </c>
      <c r="F33" s="196">
        <f>IF('MASTER DATA'!C11="","",SUMIFS('INPUT HARIAN'!F4:F503,'INPUT HARIAN'!D4:D503,'MASTER DATA'!C11,'INPUT HARIAN'!C4:C503,E25))</f>
        <v/>
      </c>
      <c r="G33" s="197">
        <f>IF(OR('MASTER DATA'!C11="",E33="",E33=0),"",F33/E33)</f>
        <v/>
      </c>
      <c r="H33" s="195">
        <f>IF('MASTER DATA'!C11="","",IF(G33="","—",IF(G33&gt;=1,"✅ TERCAPAI",IF(G33&gt;=0.5,"⚠️ MENDEKATI","❌ PERLU PERHATIAN"))))</f>
        <v/>
      </c>
      <c r="I33" s="199">
        <f>IF('MASTER DATA'!C11="","",'MASTER DATA'!K11)</f>
        <v/>
      </c>
      <c r="J33" s="200">
        <f>IF('MASTER DATA'!C11="","",SUMIFS('INPUT HARIAN'!G4:G503,'INPUT HARIAN'!D4:D503,'MASTER DATA'!C11,'INPUT HARIAN'!C4:C503,E25))</f>
        <v/>
      </c>
      <c r="K33" s="197">
        <f>IF(OR('MASTER DATA'!C11="",I33="",I33=0),"",J33/I33)</f>
        <v/>
      </c>
      <c r="L33" s="222" t="n"/>
      <c r="M33" s="121" t="n"/>
      <c r="N33" s="121" t="n"/>
      <c r="O33" s="121" t="n"/>
      <c r="P33" s="121" t="n"/>
      <c r="Q33" s="121" t="n"/>
      <c r="R33" s="121" t="n"/>
      <c r="S33" s="121" t="n"/>
      <c r="T33" s="121" t="n"/>
      <c r="U33" s="121" t="n"/>
      <c r="V33" s="121" t="n"/>
      <c r="W33" s="121" t="n"/>
      <c r="X33" s="121" t="n"/>
      <c r="Y33" s="121" t="n"/>
      <c r="Z33" s="121" t="n"/>
    </row>
    <row r="34" ht="19.5" customHeight="1" s="122">
      <c r="A34" s="121" t="n"/>
      <c r="B34" s="202">
        <f>'MASTER DATA'!B12</f>
        <v/>
      </c>
      <c r="C34" s="203">
        <f>'MASTER DATA'!C12</f>
        <v/>
      </c>
      <c r="D34" s="204">
        <f>'MASTER DATA'!D12</f>
        <v/>
      </c>
      <c r="E34" s="205">
        <f>IF('MASTER DATA'!C12="","",'MASTER DATA'!J12)</f>
        <v/>
      </c>
      <c r="F34" s="205">
        <f>IF('MASTER DATA'!C12="","",SUMIFS('INPUT HARIAN'!F4:F503,'INPUT HARIAN'!D4:D503,'MASTER DATA'!C12,'INPUT HARIAN'!C4:C503,E25))</f>
        <v/>
      </c>
      <c r="G34" s="206">
        <f>IF(OR('MASTER DATA'!C12="",E34="",E34=0),"",F34/E34)</f>
        <v/>
      </c>
      <c r="H34" s="204">
        <f>IF('MASTER DATA'!C12="","",IF(G34="","—",IF(G34&gt;=1,"✅ TERCAPAI",IF(G34&gt;=0.5,"⚠️ MENDEKATI","❌ PERLU PERHATIAN"))))</f>
        <v/>
      </c>
      <c r="I34" s="208">
        <f>IF('MASTER DATA'!C12="","",'MASTER DATA'!K12)</f>
        <v/>
      </c>
      <c r="J34" s="209">
        <f>IF('MASTER DATA'!C12="","",SUMIFS('INPUT HARIAN'!G4:G503,'INPUT HARIAN'!D4:D503,'MASTER DATA'!C12,'INPUT HARIAN'!C4:C503,E25))</f>
        <v/>
      </c>
      <c r="K34" s="206">
        <f>IF(OR('MASTER DATA'!C12="",I34="",I34=0),"",J34/I34)</f>
        <v/>
      </c>
      <c r="L34" s="223" t="n"/>
      <c r="M34" s="121" t="n"/>
      <c r="N34" s="121" t="n"/>
      <c r="O34" s="121" t="n"/>
      <c r="P34" s="121" t="n"/>
      <c r="Q34" s="121" t="n"/>
      <c r="R34" s="121" t="n"/>
      <c r="S34" s="121" t="n"/>
      <c r="T34" s="121" t="n"/>
      <c r="U34" s="121" t="n"/>
      <c r="V34" s="121" t="n"/>
      <c r="W34" s="121" t="n"/>
      <c r="X34" s="121" t="n"/>
      <c r="Y34" s="121" t="n"/>
      <c r="Z34" s="121" t="n"/>
    </row>
    <row r="35" ht="19.5" customHeight="1" s="122">
      <c r="A35" s="121" t="n"/>
      <c r="B35" s="193">
        <f>'MASTER DATA'!B13</f>
        <v/>
      </c>
      <c r="C35" s="194">
        <f>'MASTER DATA'!C13</f>
        <v/>
      </c>
      <c r="D35" s="195">
        <f>'MASTER DATA'!D13</f>
        <v/>
      </c>
      <c r="E35" s="196">
        <f>IF('MASTER DATA'!C13="","",'MASTER DATA'!J13)</f>
        <v/>
      </c>
      <c r="F35" s="196">
        <f>IF('MASTER DATA'!C13="","",SUMIFS('INPUT HARIAN'!F4:F503,'INPUT HARIAN'!D4:D503,'MASTER DATA'!C13,'INPUT HARIAN'!C4:C503,E25))</f>
        <v/>
      </c>
      <c r="G35" s="197">
        <f>IF(OR('MASTER DATA'!C13="",E35="",E35=0),"",F35/E35)</f>
        <v/>
      </c>
      <c r="H35" s="195">
        <f>IF('MASTER DATA'!C13="","",IF(G35="","—",IF(G35&gt;=1,"✅ TERCAPAI",IF(G35&gt;=0.5,"⚠️ MENDEKATI","❌ PERLU PERHATIAN"))))</f>
        <v/>
      </c>
      <c r="I35" s="199">
        <f>IF('MASTER DATA'!C13="","",'MASTER DATA'!K13)</f>
        <v/>
      </c>
      <c r="J35" s="200">
        <f>IF('MASTER DATA'!C13="","",SUMIFS('INPUT HARIAN'!G4:G503,'INPUT HARIAN'!D4:D503,'MASTER DATA'!C13,'INPUT HARIAN'!C4:C503,E25))</f>
        <v/>
      </c>
      <c r="K35" s="197">
        <f>IF(OR('MASTER DATA'!C13="",I35="",I35=0),"",J35/I35)</f>
        <v/>
      </c>
      <c r="L35" s="222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</row>
    <row r="36" ht="19.5" customHeight="1" s="122">
      <c r="A36" s="121" t="n"/>
      <c r="B36" s="202">
        <f>'MASTER DATA'!B14</f>
        <v/>
      </c>
      <c r="C36" s="203">
        <f>'MASTER DATA'!C14</f>
        <v/>
      </c>
      <c r="D36" s="204">
        <f>'MASTER DATA'!D14</f>
        <v/>
      </c>
      <c r="E36" s="205">
        <f>IF('MASTER DATA'!C14="","",'MASTER DATA'!J14)</f>
        <v/>
      </c>
      <c r="F36" s="205">
        <f>IF('MASTER DATA'!C14="","",SUMIFS('INPUT HARIAN'!F4:F503,'INPUT HARIAN'!D4:D503,'MASTER DATA'!C14,'INPUT HARIAN'!C4:C503,E25))</f>
        <v/>
      </c>
      <c r="G36" s="206">
        <f>IF(OR('MASTER DATA'!C14="",E36="",E36=0),"",F36/E36)</f>
        <v/>
      </c>
      <c r="H36" s="204">
        <f>IF('MASTER DATA'!C14="","",IF(G36="","—",IF(G36&gt;=1,"✅ TERCAPAI",IF(G36&gt;=0.5,"⚠️ MENDEKATI","❌ PERLU PERHATIAN"))))</f>
        <v/>
      </c>
      <c r="I36" s="208">
        <f>IF('MASTER DATA'!C14="","",'MASTER DATA'!K14)</f>
        <v/>
      </c>
      <c r="J36" s="209">
        <f>IF('MASTER DATA'!C14="","",SUMIFS('INPUT HARIAN'!G4:G503,'INPUT HARIAN'!D4:D503,'MASTER DATA'!C14,'INPUT HARIAN'!C4:C503,E25))</f>
        <v/>
      </c>
      <c r="K36" s="206">
        <f>IF(OR('MASTER DATA'!C14="",I36="",I36=0),"",J36/I36)</f>
        <v/>
      </c>
      <c r="L36" s="223" t="n"/>
      <c r="M36" s="121" t="n"/>
      <c r="N36" s="121" t="n"/>
      <c r="O36" s="121" t="n"/>
      <c r="P36" s="121" t="n"/>
      <c r="Q36" s="121" t="n"/>
      <c r="R36" s="121" t="n"/>
      <c r="S36" s="121" t="n"/>
      <c r="T36" s="121" t="n"/>
      <c r="U36" s="121" t="n"/>
      <c r="V36" s="121" t="n"/>
      <c r="W36" s="121" t="n"/>
      <c r="X36" s="121" t="n"/>
      <c r="Y36" s="121" t="n"/>
      <c r="Z36" s="121" t="n"/>
    </row>
    <row r="37" ht="19.5" customHeight="1" s="122">
      <c r="A37" s="121" t="n"/>
      <c r="B37" s="193">
        <f>'MASTER DATA'!B15</f>
        <v/>
      </c>
      <c r="C37" s="194">
        <f>'MASTER DATA'!C15</f>
        <v/>
      </c>
      <c r="D37" s="195">
        <f>'MASTER DATA'!D15</f>
        <v/>
      </c>
      <c r="E37" s="196">
        <f>IF('MASTER DATA'!C15="","",'MASTER DATA'!J15)</f>
        <v/>
      </c>
      <c r="F37" s="196">
        <f>IF('MASTER DATA'!C15="","",SUMIFS('INPUT HARIAN'!F4:F503,'INPUT HARIAN'!D4:D503,'MASTER DATA'!C15,'INPUT HARIAN'!C4:C503,E25))</f>
        <v/>
      </c>
      <c r="G37" s="197">
        <f>IF(OR('MASTER DATA'!C15="",E37="",E37=0),"",F37/E37)</f>
        <v/>
      </c>
      <c r="H37" s="195">
        <f>IF('MASTER DATA'!C15="","",IF(G37="","—",IF(G37&gt;=1,"✅ TERCAPAI",IF(G37&gt;=0.5,"⚠️ MENDEKATI","❌ PERLU PERHATIAN"))))</f>
        <v/>
      </c>
      <c r="I37" s="199">
        <f>IF('MASTER DATA'!C15="","",'MASTER DATA'!K15)</f>
        <v/>
      </c>
      <c r="J37" s="200">
        <f>IF('MASTER DATA'!C15="","",SUMIFS('INPUT HARIAN'!G4:G503,'INPUT HARIAN'!D4:D503,'MASTER DATA'!C15,'INPUT HARIAN'!C4:C503,E25))</f>
        <v/>
      </c>
      <c r="K37" s="197">
        <f>IF(OR('MASTER DATA'!C15="",I37="",I37=0),"",J37/I37)</f>
        <v/>
      </c>
      <c r="L37" s="222" t="n"/>
      <c r="M37" s="121" t="n"/>
      <c r="N37" s="121" t="n"/>
      <c r="O37" s="121" t="n"/>
      <c r="P37" s="121" t="n"/>
      <c r="Q37" s="121" t="n"/>
      <c r="R37" s="121" t="n"/>
      <c r="S37" s="121" t="n"/>
      <c r="T37" s="121" t="n"/>
      <c r="U37" s="121" t="n"/>
      <c r="V37" s="121" t="n"/>
      <c r="W37" s="121" t="n"/>
      <c r="X37" s="121" t="n"/>
      <c r="Y37" s="121" t="n"/>
      <c r="Z37" s="121" t="n"/>
    </row>
    <row r="38" ht="19.5" customHeight="1" s="122">
      <c r="A38" s="121" t="n"/>
      <c r="B38" s="202">
        <f>'MASTER DATA'!B16</f>
        <v/>
      </c>
      <c r="C38" s="203">
        <f>'MASTER DATA'!C16</f>
        <v/>
      </c>
      <c r="D38" s="204">
        <f>'MASTER DATA'!D16</f>
        <v/>
      </c>
      <c r="E38" s="205">
        <f>IF('MASTER DATA'!C16="","",'MASTER DATA'!J16)</f>
        <v/>
      </c>
      <c r="F38" s="205">
        <f>IF('MASTER DATA'!C16="","",SUMIFS('INPUT HARIAN'!F4:F503,'INPUT HARIAN'!D4:D503,'MASTER DATA'!C16,'INPUT HARIAN'!C4:C503,E25))</f>
        <v/>
      </c>
      <c r="G38" s="206">
        <f>IF(OR('MASTER DATA'!C16="",E38="",E38=0),"",F38/E38)</f>
        <v/>
      </c>
      <c r="H38" s="204">
        <f>IF('MASTER DATA'!C16="","",IF(G38="","—",IF(G38&gt;=1,"✅ TERCAPAI",IF(G38&gt;=0.5,"⚠️ MENDEKATI","❌ PERLU PERHATIAN"))))</f>
        <v/>
      </c>
      <c r="I38" s="208">
        <f>IF('MASTER DATA'!C16="","",'MASTER DATA'!K16)</f>
        <v/>
      </c>
      <c r="J38" s="209">
        <f>IF('MASTER DATA'!C16="","",SUMIFS('INPUT HARIAN'!G4:G503,'INPUT HARIAN'!D4:D503,'MASTER DATA'!C16,'INPUT HARIAN'!C4:C503,E25))</f>
        <v/>
      </c>
      <c r="K38" s="206">
        <f>IF(OR('MASTER DATA'!C16="",I38="",I38=0),"",J38/I38)</f>
        <v/>
      </c>
      <c r="L38" s="223" t="n"/>
      <c r="M38" s="121" t="n"/>
      <c r="N38" s="121" t="n"/>
      <c r="O38" s="121" t="n"/>
      <c r="P38" s="121" t="n"/>
      <c r="Q38" s="121" t="n"/>
      <c r="R38" s="121" t="n"/>
      <c r="S38" s="121" t="n"/>
      <c r="T38" s="121" t="n"/>
      <c r="U38" s="121" t="n"/>
      <c r="V38" s="121" t="n"/>
      <c r="W38" s="121" t="n"/>
      <c r="X38" s="121" t="n"/>
      <c r="Y38" s="121" t="n"/>
      <c r="Z38" s="121" t="n"/>
    </row>
    <row r="39" ht="19.5" customHeight="1" s="122">
      <c r="A39" s="121" t="n"/>
      <c r="B39" s="193">
        <f>'MASTER DATA'!B17</f>
        <v/>
      </c>
      <c r="C39" s="194">
        <f>'MASTER DATA'!C17</f>
        <v/>
      </c>
      <c r="D39" s="195">
        <f>'MASTER DATA'!D17</f>
        <v/>
      </c>
      <c r="E39" s="196">
        <f>IF('MASTER DATA'!C17="","",'MASTER DATA'!J17)</f>
        <v/>
      </c>
      <c r="F39" s="196">
        <f>IF('MASTER DATA'!C17="","",SUMIFS('INPUT HARIAN'!F4:F503,'INPUT HARIAN'!D4:D503,'MASTER DATA'!C17,'INPUT HARIAN'!C4:C503,E25))</f>
        <v/>
      </c>
      <c r="G39" s="197">
        <f>IF(OR('MASTER DATA'!C17="",E39="",E39=0),"",F39/E39)</f>
        <v/>
      </c>
      <c r="H39" s="195">
        <f>IF('MASTER DATA'!C17="","",IF(G39="","—",IF(G39&gt;=1,"✅ TERCAPAI",IF(G39&gt;=0.5,"⚠️ MENDEKATI","❌ PERLU PERHATIAN"))))</f>
        <v/>
      </c>
      <c r="I39" s="199">
        <f>IF('MASTER DATA'!C17="","",'MASTER DATA'!K17)</f>
        <v/>
      </c>
      <c r="J39" s="200">
        <f>IF('MASTER DATA'!C17="","",SUMIFS('INPUT HARIAN'!G4:G503,'INPUT HARIAN'!D4:D503,'MASTER DATA'!C17,'INPUT HARIAN'!C4:C503,E25))</f>
        <v/>
      </c>
      <c r="K39" s="197">
        <f>IF(OR('MASTER DATA'!C17="",I39="",I39=0),"",J39/I39)</f>
        <v/>
      </c>
      <c r="L39" s="222" t="n"/>
      <c r="M39" s="121" t="n"/>
      <c r="N39" s="121" t="n"/>
      <c r="O39" s="121" t="n"/>
      <c r="P39" s="121" t="n"/>
      <c r="Q39" s="121" t="n"/>
      <c r="R39" s="121" t="n"/>
      <c r="S39" s="121" t="n"/>
      <c r="T39" s="121" t="n"/>
      <c r="U39" s="121" t="n"/>
      <c r="V39" s="121" t="n"/>
      <c r="W39" s="121" t="n"/>
      <c r="X39" s="121" t="n"/>
      <c r="Y39" s="121" t="n"/>
      <c r="Z39" s="121" t="n"/>
    </row>
    <row r="40" ht="19.5" customHeight="1" s="122">
      <c r="A40" s="121" t="n"/>
      <c r="B40" s="202">
        <f>'MASTER DATA'!B18</f>
        <v/>
      </c>
      <c r="C40" s="203">
        <f>'MASTER DATA'!C18</f>
        <v/>
      </c>
      <c r="D40" s="204">
        <f>'MASTER DATA'!D18</f>
        <v/>
      </c>
      <c r="E40" s="205">
        <f>IF('MASTER DATA'!C18="","",'MASTER DATA'!J18)</f>
        <v/>
      </c>
      <c r="F40" s="205">
        <f>IF('MASTER DATA'!C18="","",SUMIFS('INPUT HARIAN'!F4:F503,'INPUT HARIAN'!D4:D503,'MASTER DATA'!C18,'INPUT HARIAN'!C4:C503,E25))</f>
        <v/>
      </c>
      <c r="G40" s="206">
        <f>IF(OR('MASTER DATA'!C18="",E40="",E40=0),"",F40/E40)</f>
        <v/>
      </c>
      <c r="H40" s="204">
        <f>IF('MASTER DATA'!C18="","",IF(G40="","—",IF(G40&gt;=1,"✅ TERCAPAI",IF(G40&gt;=0.5,"⚠️ MENDEKATI","❌ PERLU PERHATIAN"))))</f>
        <v/>
      </c>
      <c r="I40" s="208">
        <f>IF('MASTER DATA'!C18="","",'MASTER DATA'!K18)</f>
        <v/>
      </c>
      <c r="J40" s="209">
        <f>IF('MASTER DATA'!C18="","",SUMIFS('INPUT HARIAN'!G4:G503,'INPUT HARIAN'!D4:D503,'MASTER DATA'!C18,'INPUT HARIAN'!C4:C503,E25))</f>
        <v/>
      </c>
      <c r="K40" s="206">
        <f>IF(OR('MASTER DATA'!C18="",I40="",I40=0),"",J40/I40)</f>
        <v/>
      </c>
      <c r="L40" s="223" t="n"/>
      <c r="M40" s="121" t="n"/>
      <c r="N40" s="121" t="n"/>
      <c r="O40" s="121" t="n"/>
      <c r="P40" s="121" t="n"/>
      <c r="Q40" s="121" t="n"/>
      <c r="R40" s="121" t="n"/>
      <c r="S40" s="121" t="n"/>
      <c r="T40" s="121" t="n"/>
      <c r="U40" s="121" t="n"/>
      <c r="V40" s="121" t="n"/>
      <c r="W40" s="121" t="n"/>
      <c r="X40" s="121" t="n"/>
      <c r="Y40" s="121" t="n"/>
      <c r="Z40" s="121" t="n"/>
    </row>
    <row r="41" ht="19.5" customHeight="1" s="122">
      <c r="A41" s="121" t="n"/>
      <c r="B41" s="193">
        <f>'MASTER DATA'!B19</f>
        <v/>
      </c>
      <c r="C41" s="194">
        <f>'MASTER DATA'!C19</f>
        <v/>
      </c>
      <c r="D41" s="195">
        <f>'MASTER DATA'!D19</f>
        <v/>
      </c>
      <c r="E41" s="196">
        <f>IF('MASTER DATA'!C19="","",'MASTER DATA'!J19)</f>
        <v/>
      </c>
      <c r="F41" s="196">
        <f>IF('MASTER DATA'!C19="","",SUMIFS('INPUT HARIAN'!F4:F503,'INPUT HARIAN'!D4:D503,'MASTER DATA'!C19,'INPUT HARIAN'!C4:C503,E25))</f>
        <v/>
      </c>
      <c r="G41" s="197">
        <f>IF(OR('MASTER DATA'!C19="",E41="",E41=0),"",F41/E41)</f>
        <v/>
      </c>
      <c r="H41" s="195">
        <f>IF('MASTER DATA'!C19="","",IF(G41="","—",IF(G41&gt;=1,"✅ TERCAPAI",IF(G41&gt;=0.5,"⚠️ MENDEKATI","❌ PERLU PERHATIAN"))))</f>
        <v/>
      </c>
      <c r="I41" s="199">
        <f>IF('MASTER DATA'!C19="","",'MASTER DATA'!K19)</f>
        <v/>
      </c>
      <c r="J41" s="200">
        <f>IF('MASTER DATA'!C19="","",SUMIFS('INPUT HARIAN'!G4:G503,'INPUT HARIAN'!D4:D503,'MASTER DATA'!C19,'INPUT HARIAN'!C4:C503,E25))</f>
        <v/>
      </c>
      <c r="K41" s="197">
        <f>IF(OR('MASTER DATA'!C19="",I41="",I41=0),"",J41/I41)</f>
        <v/>
      </c>
      <c r="L41" s="222" t="n"/>
      <c r="M41" s="121" t="n"/>
      <c r="N41" s="121" t="n"/>
      <c r="O41" s="121" t="n"/>
      <c r="P41" s="121" t="n"/>
      <c r="Q41" s="121" t="n"/>
      <c r="R41" s="121" t="n"/>
      <c r="S41" s="121" t="n"/>
      <c r="T41" s="121" t="n"/>
      <c r="U41" s="121" t="n"/>
      <c r="V41" s="121" t="n"/>
      <c r="W41" s="121" t="n"/>
      <c r="X41" s="121" t="n"/>
      <c r="Y41" s="121" t="n"/>
      <c r="Z41" s="121" t="n"/>
    </row>
    <row r="42" ht="15.75" customHeight="1" s="122">
      <c r="A42" s="121" t="n"/>
      <c r="B42" s="121" t="n"/>
      <c r="C42" s="121" t="n"/>
      <c r="D42" s="121" t="n"/>
      <c r="E42" s="121" t="n"/>
      <c r="F42" s="121">
        <f>IF('MASTER DATA'!C19="","",SUMIFS('INPUT HARIAN'!F4:F503,'INPUT HARIAN'!D4:D503,'MASTER DATA'!C19,'INPUT HARIAN'!C4:C503,E25))</f>
        <v/>
      </c>
      <c r="G42" s="121" t="n"/>
      <c r="H42" s="121" t="n"/>
      <c r="I42" s="121" t="n"/>
      <c r="J42" s="121">
        <f>IF('MASTER DATA'!C19="","",SUMIFS('INPUT HARIAN'!G4:G503,'INPUT HARIAN'!D4:D503,'MASTER DATA'!C19,'INPUT HARIAN'!C4:C503,E25))</f>
        <v/>
      </c>
      <c r="K42" s="121" t="n"/>
      <c r="L42" s="121" t="n"/>
      <c r="M42" s="121" t="n"/>
      <c r="N42" s="121" t="n"/>
      <c r="O42" s="121" t="n"/>
      <c r="P42" s="121" t="n"/>
      <c r="Q42" s="121" t="n"/>
      <c r="R42" s="121" t="n"/>
      <c r="S42" s="121" t="n"/>
      <c r="T42" s="121" t="n"/>
      <c r="U42" s="121" t="n"/>
      <c r="V42" s="121" t="n"/>
      <c r="W42" s="121" t="n"/>
      <c r="X42" s="121" t="n"/>
      <c r="Y42" s="121" t="n"/>
      <c r="Z42" s="121" t="n"/>
    </row>
    <row r="43" ht="15.75" customHeight="1" s="122">
      <c r="A43" s="121" t="n"/>
      <c r="B43" s="121" t="n"/>
      <c r="C43" s="121" t="n"/>
      <c r="D43" s="121" t="n"/>
      <c r="E43" s="121" t="n"/>
      <c r="F43" s="121" t="n"/>
      <c r="G43" s="121" t="n"/>
      <c r="H43" s="121" t="n"/>
      <c r="I43" s="121" t="n"/>
      <c r="J43" s="121" t="n"/>
      <c r="K43" s="121" t="n"/>
      <c r="L43" s="121" t="n"/>
      <c r="M43" s="121" t="n"/>
      <c r="N43" s="121" t="n"/>
      <c r="O43" s="121" t="n"/>
      <c r="P43" s="121" t="n"/>
      <c r="Q43" s="121" t="n"/>
      <c r="R43" s="121" t="n"/>
      <c r="S43" s="121" t="n"/>
      <c r="T43" s="121" t="n"/>
      <c r="U43" s="121" t="n"/>
      <c r="V43" s="121" t="n"/>
      <c r="W43" s="121" t="n"/>
      <c r="X43" s="121" t="n"/>
      <c r="Y43" s="121" t="n"/>
      <c r="Z43" s="121" t="n"/>
    </row>
    <row r="44" ht="15.75" customHeight="1" s="122">
      <c r="A44" s="121" t="n"/>
      <c r="B44" s="121" t="n"/>
      <c r="C44" s="121" t="n"/>
      <c r="D44" s="121" t="n"/>
      <c r="E44" s="121" t="n"/>
      <c r="F44" s="121" t="n"/>
      <c r="G44" s="121" t="n"/>
      <c r="H44" s="121" t="n"/>
      <c r="I44" s="121" t="n"/>
      <c r="J44" s="121" t="n"/>
      <c r="K44" s="121" t="n"/>
      <c r="L44" s="121" t="n"/>
      <c r="M44" s="121" t="n"/>
      <c r="N44" s="121" t="n"/>
      <c r="O44" s="121" t="n"/>
      <c r="P44" s="121" t="n"/>
      <c r="Q44" s="121" t="n"/>
      <c r="R44" s="121" t="n"/>
      <c r="S44" s="121" t="n"/>
      <c r="T44" s="121" t="n"/>
      <c r="U44" s="121" t="n"/>
      <c r="V44" s="121" t="n"/>
      <c r="W44" s="121" t="n"/>
      <c r="X44" s="121" t="n"/>
      <c r="Y44" s="121" t="n"/>
      <c r="Z44" s="121" t="n"/>
    </row>
    <row r="45" ht="15.75" customHeight="1" s="122">
      <c r="A45" s="121" t="n"/>
      <c r="B45" s="121" t="n"/>
      <c r="C45" s="121" t="n"/>
      <c r="D45" s="121" t="n"/>
      <c r="E45" s="121" t="n"/>
      <c r="F45" s="121" t="n"/>
      <c r="G45" s="121" t="n"/>
      <c r="H45" s="121" t="n"/>
      <c r="I45" s="121" t="n"/>
      <c r="J45" s="121" t="n"/>
      <c r="K45" s="121" t="n"/>
      <c r="L45" s="121" t="n"/>
      <c r="M45" s="121" t="n"/>
      <c r="N45" s="121" t="n"/>
      <c r="O45" s="121" t="n"/>
      <c r="P45" s="121" t="n"/>
      <c r="Q45" s="121" t="n"/>
      <c r="R45" s="121" t="n"/>
      <c r="S45" s="121" t="n"/>
      <c r="T45" s="121" t="n"/>
      <c r="U45" s="121" t="n"/>
      <c r="V45" s="121" t="n"/>
      <c r="W45" s="121" t="n"/>
      <c r="X45" s="121" t="n"/>
      <c r="Y45" s="121" t="n"/>
      <c r="Z45" s="121" t="n"/>
    </row>
    <row r="46" ht="15.75" customHeight="1" s="122">
      <c r="A46" s="121" t="n"/>
      <c r="B46" s="121" t="n"/>
      <c r="C46" s="121" t="n"/>
      <c r="D46" s="121" t="n"/>
      <c r="E46" s="121" t="n"/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1" t="n"/>
      <c r="Q46" s="121" t="n"/>
      <c r="R46" s="121" t="n"/>
      <c r="S46" s="121" t="n"/>
      <c r="T46" s="121" t="n"/>
      <c r="U46" s="121" t="n"/>
      <c r="V46" s="121" t="n"/>
      <c r="W46" s="121" t="n"/>
      <c r="X46" s="121" t="n"/>
      <c r="Y46" s="121" t="n"/>
      <c r="Z46" s="121" t="n"/>
    </row>
    <row r="47" ht="15.75" customHeight="1" s="122">
      <c r="A47" s="121" t="n"/>
      <c r="B47" s="121" t="n"/>
      <c r="C47" s="121" t="n"/>
      <c r="D47" s="121" t="n"/>
      <c r="E47" s="121" t="n"/>
      <c r="F47" s="121" t="n"/>
      <c r="G47" s="121" t="n"/>
      <c r="H47" s="121" t="n"/>
      <c r="I47" s="121" t="n"/>
      <c r="J47" s="121" t="n"/>
      <c r="K47" s="121" t="n"/>
      <c r="L47" s="121" t="n"/>
      <c r="M47" s="121" t="n"/>
      <c r="N47" s="121" t="n"/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</row>
    <row r="48" ht="15.75" customHeight="1" s="122">
      <c r="A48" s="121" t="n"/>
      <c r="B48" s="121" t="n"/>
      <c r="C48" s="121" t="n"/>
      <c r="D48" s="121" t="n"/>
      <c r="E48" s="121" t="n"/>
      <c r="F48" s="121" t="n"/>
      <c r="G48" s="121" t="n"/>
      <c r="H48" s="121" t="n"/>
      <c r="I48" s="121" t="n"/>
      <c r="J48" s="121" t="n"/>
      <c r="K48" s="121" t="n"/>
      <c r="L48" s="121" t="n"/>
      <c r="M48" s="121" t="n"/>
      <c r="N48" s="121" t="n"/>
      <c r="O48" s="121" t="n"/>
      <c r="P48" s="121" t="n"/>
      <c r="Q48" s="121" t="n"/>
      <c r="R48" s="121" t="n"/>
      <c r="S48" s="121" t="n"/>
      <c r="T48" s="121" t="n"/>
      <c r="U48" s="121" t="n"/>
      <c r="V48" s="121" t="n"/>
      <c r="W48" s="121" t="n"/>
      <c r="X48" s="121" t="n"/>
      <c r="Y48" s="121" t="n"/>
      <c r="Z48" s="121" t="n"/>
    </row>
    <row r="49" ht="15.75" customHeight="1" s="122">
      <c r="A49" s="121" t="n"/>
      <c r="B49" s="121" t="n"/>
      <c r="C49" s="121" t="n"/>
      <c r="D49" s="121" t="n"/>
      <c r="E49" s="121" t="n"/>
      <c r="F49" s="121" t="n"/>
      <c r="G49" s="121" t="n"/>
      <c r="H49" s="121" t="n"/>
      <c r="I49" s="121" t="n"/>
      <c r="J49" s="121" t="n"/>
      <c r="K49" s="121" t="n"/>
      <c r="L49" s="121" t="n"/>
      <c r="M49" s="121" t="n"/>
      <c r="N49" s="121" t="n"/>
      <c r="O49" s="121" t="n"/>
      <c r="P49" s="121" t="n"/>
      <c r="Q49" s="121" t="n"/>
      <c r="R49" s="121" t="n"/>
      <c r="S49" s="121" t="n"/>
      <c r="T49" s="121" t="n"/>
      <c r="U49" s="121" t="n"/>
      <c r="V49" s="121" t="n"/>
      <c r="W49" s="121" t="n"/>
      <c r="X49" s="121" t="n"/>
      <c r="Y49" s="121" t="n"/>
      <c r="Z49" s="121" t="n"/>
    </row>
    <row r="50" ht="15.75" customHeight="1" s="122">
      <c r="A50" s="121" t="n"/>
      <c r="B50" s="121" t="n"/>
      <c r="C50" s="121" t="n"/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</row>
    <row r="51" ht="15.75" customHeight="1" s="122">
      <c r="A51" s="121" t="n"/>
      <c r="B51" s="121" t="n"/>
      <c r="C51" s="121" t="n"/>
      <c r="D51" s="121" t="n"/>
      <c r="E51" s="121" t="n"/>
      <c r="F51" s="121" t="n"/>
      <c r="G51" s="121" t="n"/>
      <c r="H51" s="121" t="n"/>
      <c r="I51" s="121" t="n"/>
      <c r="J51" s="121" t="n"/>
      <c r="K51" s="121" t="n"/>
      <c r="L51" s="121" t="n"/>
      <c r="M51" s="121" t="n"/>
      <c r="N51" s="121" t="n"/>
      <c r="O51" s="121" t="n"/>
      <c r="P51" s="121" t="n"/>
      <c r="Q51" s="121" t="n"/>
      <c r="R51" s="121" t="n"/>
      <c r="S51" s="121" t="n"/>
      <c r="T51" s="121" t="n"/>
      <c r="U51" s="121" t="n"/>
      <c r="V51" s="121" t="n"/>
      <c r="W51" s="121" t="n"/>
      <c r="X51" s="121" t="n"/>
      <c r="Y51" s="121" t="n"/>
      <c r="Z51" s="121" t="n"/>
    </row>
    <row r="52" ht="15.75" customHeight="1" s="122">
      <c r="A52" s="121" t="n"/>
      <c r="B52" s="121" t="n"/>
      <c r="C52" s="121" t="n"/>
      <c r="D52" s="121" t="n"/>
      <c r="E52" s="121" t="n"/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1" t="n"/>
      <c r="Q52" s="121" t="n"/>
      <c r="R52" s="121" t="n"/>
      <c r="S52" s="121" t="n"/>
      <c r="T52" s="121" t="n"/>
      <c r="U52" s="121" t="n"/>
      <c r="V52" s="121" t="n"/>
      <c r="W52" s="121" t="n"/>
      <c r="X52" s="121" t="n"/>
      <c r="Y52" s="121" t="n"/>
      <c r="Z52" s="121" t="n"/>
    </row>
    <row r="53" ht="15.75" customHeight="1" s="122">
      <c r="A53" s="121" t="n"/>
      <c r="B53" s="121" t="n"/>
      <c r="C53" s="121" t="n"/>
      <c r="D53" s="121" t="n"/>
      <c r="E53" s="121" t="n"/>
      <c r="F53" s="121" t="n"/>
      <c r="G53" s="121" t="n"/>
      <c r="H53" s="121" t="n"/>
      <c r="I53" s="121" t="n"/>
      <c r="J53" s="121" t="n"/>
      <c r="K53" s="121" t="n"/>
      <c r="L53" s="121" t="n"/>
      <c r="M53" s="121" t="n"/>
      <c r="N53" s="121" t="n"/>
      <c r="O53" s="121" t="n"/>
      <c r="P53" s="121" t="n"/>
      <c r="Q53" s="121" t="n"/>
      <c r="R53" s="121" t="n"/>
      <c r="S53" s="121" t="n"/>
      <c r="T53" s="121" t="n"/>
      <c r="U53" s="121" t="n"/>
      <c r="V53" s="121" t="n"/>
      <c r="W53" s="121" t="n"/>
      <c r="X53" s="121" t="n"/>
      <c r="Y53" s="121" t="n"/>
      <c r="Z53" s="121" t="n"/>
    </row>
    <row r="54" ht="15.75" customHeight="1" s="122">
      <c r="A54" s="121" t="n"/>
      <c r="B54" s="121" t="n"/>
      <c r="C54" s="121" t="n"/>
      <c r="D54" s="121" t="n"/>
      <c r="E54" s="121" t="n"/>
      <c r="F54" s="121" t="n"/>
      <c r="G54" s="121" t="n"/>
      <c r="H54" s="121" t="n"/>
      <c r="I54" s="121" t="n"/>
      <c r="J54" s="121" t="n"/>
      <c r="K54" s="121" t="n"/>
      <c r="L54" s="121" t="n"/>
      <c r="M54" s="121" t="n"/>
      <c r="N54" s="121" t="n"/>
      <c r="O54" s="121" t="n"/>
      <c r="P54" s="121" t="n"/>
      <c r="Q54" s="121" t="n"/>
      <c r="R54" s="121" t="n"/>
      <c r="S54" s="121" t="n"/>
      <c r="T54" s="121" t="n"/>
      <c r="U54" s="121" t="n"/>
      <c r="V54" s="121" t="n"/>
      <c r="W54" s="121" t="n"/>
      <c r="X54" s="121" t="n"/>
      <c r="Y54" s="121" t="n"/>
      <c r="Z54" s="121" t="n"/>
    </row>
    <row r="55" ht="15.75" customHeight="1" s="122">
      <c r="A55" s="121" t="n"/>
      <c r="B55" s="121" t="n"/>
      <c r="C55" s="121" t="n"/>
      <c r="D55" s="121" t="n"/>
      <c r="E55" s="121" t="n"/>
      <c r="F55" s="121" t="n"/>
      <c r="G55" s="121" t="n"/>
      <c r="H55" s="121" t="n"/>
      <c r="I55" s="121" t="n"/>
      <c r="J55" s="121" t="n"/>
      <c r="K55" s="121" t="n"/>
      <c r="L55" s="121" t="n"/>
      <c r="M55" s="121" t="n"/>
      <c r="N55" s="121" t="n"/>
      <c r="O55" s="121" t="n"/>
      <c r="P55" s="121" t="n"/>
      <c r="Q55" s="121" t="n"/>
      <c r="R55" s="121" t="n"/>
      <c r="S55" s="121" t="n"/>
      <c r="T55" s="121" t="n"/>
      <c r="U55" s="121" t="n"/>
      <c r="V55" s="121" t="n"/>
      <c r="W55" s="121" t="n"/>
      <c r="X55" s="121" t="n"/>
      <c r="Y55" s="121" t="n"/>
      <c r="Z55" s="121" t="n"/>
    </row>
    <row r="56" ht="15.75" customHeight="1" s="122">
      <c r="A56" s="121" t="n"/>
      <c r="B56" s="121" t="n"/>
      <c r="C56" s="121" t="n"/>
      <c r="D56" s="121" t="n"/>
      <c r="E56" s="121" t="n"/>
      <c r="F56" s="121" t="n"/>
      <c r="G56" s="121" t="n"/>
      <c r="H56" s="121" t="n"/>
      <c r="I56" s="121" t="n"/>
      <c r="J56" s="121" t="n"/>
      <c r="K56" s="121" t="n"/>
      <c r="L56" s="121" t="n"/>
      <c r="M56" s="121" t="n"/>
      <c r="N56" s="121" t="n"/>
      <c r="O56" s="121" t="n"/>
      <c r="P56" s="121" t="n"/>
      <c r="Q56" s="121" t="n"/>
      <c r="R56" s="121" t="n"/>
      <c r="S56" s="121" t="n"/>
      <c r="T56" s="121" t="n"/>
      <c r="U56" s="121" t="n"/>
      <c r="V56" s="121" t="n"/>
      <c r="W56" s="121" t="n"/>
      <c r="X56" s="121" t="n"/>
      <c r="Y56" s="121" t="n"/>
      <c r="Z56" s="121" t="n"/>
    </row>
    <row r="57" ht="15.75" customHeight="1" s="122">
      <c r="A57" s="121" t="n"/>
      <c r="B57" s="121" t="n"/>
      <c r="C57" s="121" t="n"/>
      <c r="D57" s="121" t="n"/>
      <c r="E57" s="121" t="n"/>
      <c r="F57" s="121" t="n"/>
      <c r="G57" s="121" t="n"/>
      <c r="H57" s="121" t="n"/>
      <c r="I57" s="121" t="n"/>
      <c r="J57" s="121" t="n"/>
      <c r="K57" s="121" t="n"/>
      <c r="L57" s="121" t="n"/>
      <c r="M57" s="121" t="n"/>
      <c r="N57" s="121" t="n"/>
      <c r="O57" s="121" t="n"/>
      <c r="P57" s="121" t="n"/>
      <c r="Q57" s="121" t="n"/>
      <c r="R57" s="121" t="n"/>
      <c r="S57" s="121" t="n"/>
      <c r="T57" s="121" t="n"/>
      <c r="U57" s="121" t="n"/>
      <c r="V57" s="121" t="n"/>
      <c r="W57" s="121" t="n"/>
      <c r="X57" s="121" t="n"/>
      <c r="Y57" s="121" t="n"/>
      <c r="Z57" s="121" t="n"/>
    </row>
    <row r="58" ht="15.75" customHeight="1" s="122">
      <c r="A58" s="121" t="n"/>
      <c r="B58" s="121" t="n"/>
      <c r="C58" s="121" t="n"/>
      <c r="D58" s="121" t="n"/>
      <c r="E58" s="121" t="n"/>
      <c r="F58" s="121" t="n"/>
      <c r="G58" s="121" t="n"/>
      <c r="H58" s="121" t="n"/>
      <c r="I58" s="121" t="n"/>
      <c r="J58" s="121" t="n"/>
      <c r="K58" s="121" t="n"/>
      <c r="L58" s="121" t="n"/>
      <c r="M58" s="121" t="n"/>
      <c r="N58" s="121" t="n"/>
      <c r="O58" s="121" t="n"/>
      <c r="P58" s="121" t="n"/>
      <c r="Q58" s="121" t="n"/>
      <c r="R58" s="121" t="n"/>
      <c r="S58" s="121" t="n"/>
      <c r="T58" s="121" t="n"/>
      <c r="U58" s="121" t="n"/>
      <c r="V58" s="121" t="n"/>
      <c r="W58" s="121" t="n"/>
      <c r="X58" s="121" t="n"/>
      <c r="Y58" s="121" t="n"/>
      <c r="Z58" s="121" t="n"/>
    </row>
    <row r="59" ht="15.75" customHeight="1" s="122">
      <c r="A59" s="121" t="n"/>
      <c r="B59" s="121" t="n"/>
      <c r="C59" s="121" t="n"/>
      <c r="D59" s="121" t="n"/>
      <c r="E59" s="121" t="n"/>
      <c r="F59" s="121" t="n"/>
      <c r="G59" s="121" t="n"/>
      <c r="H59" s="121" t="n"/>
      <c r="I59" s="121" t="n"/>
      <c r="J59" s="121" t="n"/>
      <c r="K59" s="121" t="n"/>
      <c r="L59" s="121" t="n"/>
      <c r="M59" s="121" t="n"/>
      <c r="N59" s="121" t="n"/>
      <c r="O59" s="121" t="n"/>
      <c r="P59" s="121" t="n"/>
      <c r="Q59" s="121" t="n"/>
      <c r="R59" s="121" t="n"/>
      <c r="S59" s="121" t="n"/>
      <c r="T59" s="121" t="n"/>
      <c r="U59" s="121" t="n"/>
      <c r="V59" s="121" t="n"/>
      <c r="W59" s="121" t="n"/>
      <c r="X59" s="121" t="n"/>
      <c r="Y59" s="121" t="n"/>
      <c r="Z59" s="121" t="n"/>
    </row>
    <row r="60" ht="15.75" customHeight="1" s="122">
      <c r="A60" s="121" t="n"/>
      <c r="B60" s="121" t="n"/>
      <c r="C60" s="121" t="n"/>
      <c r="D60" s="121" t="n"/>
      <c r="E60" s="121" t="n"/>
      <c r="F60" s="121" t="n"/>
      <c r="G60" s="121" t="n"/>
      <c r="H60" s="121" t="n"/>
      <c r="I60" s="121" t="n"/>
      <c r="J60" s="121" t="n"/>
      <c r="K60" s="121" t="n"/>
      <c r="L60" s="121" t="n"/>
      <c r="M60" s="121" t="n"/>
      <c r="N60" s="121" t="n"/>
      <c r="O60" s="121" t="n"/>
      <c r="P60" s="121" t="n"/>
      <c r="Q60" s="121" t="n"/>
      <c r="R60" s="121" t="n"/>
      <c r="S60" s="121" t="n"/>
      <c r="T60" s="121" t="n"/>
      <c r="U60" s="121" t="n"/>
      <c r="V60" s="121" t="n"/>
      <c r="W60" s="121" t="n"/>
      <c r="X60" s="121" t="n"/>
      <c r="Y60" s="121" t="n"/>
      <c r="Z60" s="121" t="n"/>
    </row>
    <row r="61" ht="15.75" customHeight="1" s="122">
      <c r="A61" s="121" t="n"/>
      <c r="B61" s="121" t="n"/>
      <c r="C61" s="121" t="n"/>
      <c r="D61" s="121" t="n"/>
      <c r="E61" s="121" t="n"/>
      <c r="F61" s="121" t="n"/>
      <c r="G61" s="121" t="n"/>
      <c r="H61" s="121" t="n"/>
      <c r="I61" s="121" t="n"/>
      <c r="J61" s="121" t="n"/>
      <c r="K61" s="121" t="n"/>
      <c r="L61" s="121" t="n"/>
      <c r="M61" s="121" t="n"/>
      <c r="N61" s="121" t="n"/>
      <c r="O61" s="121" t="n"/>
      <c r="P61" s="121" t="n"/>
      <c r="Q61" s="121" t="n"/>
      <c r="R61" s="121" t="n"/>
      <c r="S61" s="121" t="n"/>
      <c r="T61" s="121" t="n"/>
      <c r="U61" s="121" t="n"/>
      <c r="V61" s="121" t="n"/>
      <c r="W61" s="121" t="n"/>
      <c r="X61" s="121" t="n"/>
      <c r="Y61" s="121" t="n"/>
      <c r="Z61" s="121" t="n"/>
    </row>
    <row r="62" ht="15.75" customHeight="1" s="122">
      <c r="A62" s="121" t="n"/>
      <c r="B62" s="121" t="n"/>
      <c r="C62" s="121" t="n"/>
      <c r="D62" s="121" t="n"/>
      <c r="E62" s="121" t="n"/>
      <c r="F62" s="121" t="n"/>
      <c r="G62" s="121" t="n"/>
      <c r="H62" s="121" t="n"/>
      <c r="I62" s="121" t="n"/>
      <c r="J62" s="121" t="n"/>
      <c r="K62" s="121" t="n"/>
      <c r="L62" s="121" t="n"/>
      <c r="M62" s="121" t="n"/>
      <c r="N62" s="121" t="n"/>
      <c r="O62" s="121" t="n"/>
      <c r="P62" s="121" t="n"/>
      <c r="Q62" s="121" t="n"/>
      <c r="R62" s="121" t="n"/>
      <c r="S62" s="121" t="n"/>
      <c r="T62" s="121" t="n"/>
      <c r="U62" s="121" t="n"/>
      <c r="V62" s="121" t="n"/>
      <c r="W62" s="121" t="n"/>
      <c r="X62" s="121" t="n"/>
      <c r="Y62" s="121" t="n"/>
      <c r="Z62" s="121" t="n"/>
    </row>
    <row r="63" ht="15.75" customHeight="1" s="122">
      <c r="A63" s="121" t="n"/>
      <c r="B63" s="121" t="n"/>
      <c r="C63" s="121" t="n"/>
      <c r="D63" s="121" t="n"/>
      <c r="E63" s="121" t="n"/>
      <c r="F63" s="121" t="n"/>
      <c r="G63" s="121" t="n"/>
      <c r="H63" s="121" t="n"/>
      <c r="I63" s="121" t="n"/>
      <c r="J63" s="121" t="n"/>
      <c r="K63" s="121" t="n"/>
      <c r="L63" s="121" t="n"/>
      <c r="M63" s="121" t="n"/>
      <c r="N63" s="121" t="n"/>
      <c r="O63" s="121" t="n"/>
      <c r="P63" s="121" t="n"/>
      <c r="Q63" s="121" t="n"/>
      <c r="R63" s="121" t="n"/>
      <c r="S63" s="121" t="n"/>
      <c r="T63" s="121" t="n"/>
      <c r="U63" s="121" t="n"/>
      <c r="V63" s="121" t="n"/>
      <c r="W63" s="121" t="n"/>
      <c r="X63" s="121" t="n"/>
      <c r="Y63" s="121" t="n"/>
      <c r="Z63" s="121" t="n"/>
    </row>
    <row r="64" ht="15.75" customHeight="1" s="122">
      <c r="A64" s="121" t="n"/>
      <c r="B64" s="121" t="n"/>
      <c r="C64" s="121" t="n"/>
      <c r="D64" s="121" t="n"/>
      <c r="E64" s="121" t="n"/>
      <c r="F64" s="121" t="n"/>
      <c r="G64" s="121" t="n"/>
      <c r="H64" s="121" t="n"/>
      <c r="I64" s="121" t="n"/>
      <c r="J64" s="121" t="n"/>
      <c r="K64" s="121" t="n"/>
      <c r="L64" s="121" t="n"/>
      <c r="M64" s="121" t="n"/>
      <c r="N64" s="121" t="n"/>
      <c r="O64" s="121" t="n"/>
      <c r="P64" s="121" t="n"/>
      <c r="Q64" s="121" t="n"/>
      <c r="R64" s="121" t="n"/>
      <c r="S64" s="121" t="n"/>
      <c r="T64" s="121" t="n"/>
      <c r="U64" s="121" t="n"/>
      <c r="V64" s="121" t="n"/>
      <c r="W64" s="121" t="n"/>
      <c r="X64" s="121" t="n"/>
      <c r="Y64" s="121" t="n"/>
      <c r="Z64" s="121" t="n"/>
    </row>
    <row r="65" ht="15.75" customHeight="1" s="122">
      <c r="A65" s="121" t="n"/>
      <c r="B65" s="121" t="n"/>
      <c r="C65" s="121" t="n"/>
      <c r="D65" s="121" t="n"/>
      <c r="E65" s="121" t="n"/>
      <c r="F65" s="121" t="n"/>
      <c r="G65" s="121" t="n"/>
      <c r="H65" s="121" t="n"/>
      <c r="I65" s="121" t="n"/>
      <c r="J65" s="121" t="n"/>
      <c r="K65" s="121" t="n"/>
      <c r="L65" s="121" t="n"/>
      <c r="M65" s="121" t="n"/>
      <c r="N65" s="121" t="n"/>
      <c r="O65" s="121" t="n"/>
      <c r="P65" s="121" t="n"/>
      <c r="Q65" s="121" t="n"/>
      <c r="R65" s="121" t="n"/>
      <c r="S65" s="121" t="n"/>
      <c r="T65" s="121" t="n"/>
      <c r="U65" s="121" t="n"/>
      <c r="V65" s="121" t="n"/>
      <c r="W65" s="121" t="n"/>
      <c r="X65" s="121" t="n"/>
      <c r="Y65" s="121" t="n"/>
      <c r="Z65" s="121" t="n"/>
    </row>
    <row r="66" ht="15.75" customHeight="1" s="122">
      <c r="A66" s="121" t="n"/>
      <c r="B66" s="121" t="n"/>
      <c r="C66" s="121" t="n"/>
      <c r="D66" s="121" t="n"/>
      <c r="E66" s="121" t="n"/>
      <c r="F66" s="121" t="n"/>
      <c r="G66" s="121" t="n"/>
      <c r="H66" s="121" t="n"/>
      <c r="I66" s="121" t="n"/>
      <c r="J66" s="121" t="n"/>
      <c r="K66" s="121" t="n"/>
      <c r="L66" s="121" t="n"/>
      <c r="M66" s="121" t="n"/>
      <c r="N66" s="121" t="n"/>
      <c r="O66" s="121" t="n"/>
      <c r="P66" s="121" t="n"/>
      <c r="Q66" s="121" t="n"/>
      <c r="R66" s="121" t="n"/>
      <c r="S66" s="121" t="n"/>
      <c r="T66" s="121" t="n"/>
      <c r="U66" s="121" t="n"/>
      <c r="V66" s="121" t="n"/>
      <c r="W66" s="121" t="n"/>
      <c r="X66" s="121" t="n"/>
      <c r="Y66" s="121" t="n"/>
      <c r="Z66" s="121" t="n"/>
    </row>
    <row r="67" ht="15.75" customHeight="1" s="122">
      <c r="A67" s="121" t="n"/>
      <c r="B67" s="121" t="n"/>
      <c r="C67" s="121" t="n"/>
      <c r="D67" s="121" t="n"/>
      <c r="E67" s="121" t="n"/>
      <c r="F67" s="121" t="n"/>
      <c r="G67" s="121" t="n"/>
      <c r="H67" s="121" t="n"/>
      <c r="I67" s="121" t="n"/>
      <c r="J67" s="121" t="n"/>
      <c r="K67" s="121" t="n"/>
      <c r="L67" s="121" t="n"/>
      <c r="M67" s="121" t="n"/>
      <c r="N67" s="121" t="n"/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</row>
    <row r="68" ht="15.75" customHeight="1" s="122">
      <c r="A68" s="121" t="n"/>
      <c r="B68" s="121" t="n"/>
      <c r="C68" s="121" t="n"/>
      <c r="D68" s="121" t="n"/>
      <c r="E68" s="121" t="n"/>
      <c r="F68" s="121" t="n"/>
      <c r="G68" s="121" t="n"/>
      <c r="H68" s="121" t="n"/>
      <c r="I68" s="121" t="n"/>
      <c r="J68" s="121" t="n"/>
      <c r="K68" s="121" t="n"/>
      <c r="L68" s="121" t="n"/>
      <c r="M68" s="121" t="n"/>
      <c r="N68" s="121" t="n"/>
      <c r="O68" s="121" t="n"/>
      <c r="P68" s="121" t="n"/>
      <c r="Q68" s="121" t="n"/>
      <c r="R68" s="121" t="n"/>
      <c r="S68" s="121" t="n"/>
      <c r="T68" s="121" t="n"/>
      <c r="U68" s="121" t="n"/>
      <c r="V68" s="121" t="n"/>
      <c r="W68" s="121" t="n"/>
      <c r="X68" s="121" t="n"/>
      <c r="Y68" s="121" t="n"/>
      <c r="Z68" s="121" t="n"/>
    </row>
    <row r="69" ht="15.75" customHeight="1" s="122">
      <c r="A69" s="121" t="n"/>
      <c r="B69" s="121" t="n"/>
      <c r="C69" s="121" t="n"/>
      <c r="D69" s="121" t="n"/>
      <c r="E69" s="121" t="n"/>
      <c r="F69" s="121" t="n"/>
      <c r="G69" s="121" t="n"/>
      <c r="H69" s="121" t="n"/>
      <c r="I69" s="121" t="n"/>
      <c r="J69" s="121" t="n"/>
      <c r="K69" s="121" t="n"/>
      <c r="L69" s="121" t="n"/>
      <c r="M69" s="121" t="n"/>
      <c r="N69" s="121" t="n"/>
      <c r="O69" s="121" t="n"/>
      <c r="P69" s="121" t="n"/>
      <c r="Q69" s="121" t="n"/>
      <c r="R69" s="121" t="n"/>
      <c r="S69" s="121" t="n"/>
      <c r="T69" s="121" t="n"/>
      <c r="U69" s="121" t="n"/>
      <c r="V69" s="121" t="n"/>
      <c r="W69" s="121" t="n"/>
      <c r="X69" s="121" t="n"/>
      <c r="Y69" s="121" t="n"/>
      <c r="Z69" s="121" t="n"/>
    </row>
    <row r="70" ht="15.75" customHeight="1" s="122">
      <c r="A70" s="121" t="n"/>
      <c r="B70" s="121" t="n"/>
      <c r="C70" s="121" t="n"/>
      <c r="D70" s="121" t="n"/>
      <c r="E70" s="121" t="n"/>
      <c r="F70" s="121" t="n"/>
      <c r="G70" s="121" t="n"/>
      <c r="H70" s="121" t="n"/>
      <c r="I70" s="121" t="n"/>
      <c r="J70" s="121" t="n"/>
      <c r="K70" s="121" t="n"/>
      <c r="L70" s="121" t="n"/>
      <c r="M70" s="121" t="n"/>
      <c r="N70" s="121" t="n"/>
      <c r="O70" s="121" t="n"/>
      <c r="P70" s="121" t="n"/>
      <c r="Q70" s="121" t="n"/>
      <c r="R70" s="121" t="n"/>
      <c r="S70" s="121" t="n"/>
      <c r="T70" s="121" t="n"/>
      <c r="U70" s="121" t="n"/>
      <c r="V70" s="121" t="n"/>
      <c r="W70" s="121" t="n"/>
      <c r="X70" s="121" t="n"/>
      <c r="Y70" s="121" t="n"/>
      <c r="Z70" s="121" t="n"/>
    </row>
    <row r="71" ht="15.75" customHeight="1" s="122">
      <c r="A71" s="121" t="n"/>
      <c r="B71" s="121" t="n"/>
      <c r="C71" s="121" t="n"/>
      <c r="D71" s="121" t="n"/>
      <c r="E71" s="121" t="n"/>
      <c r="F71" s="121" t="n"/>
      <c r="G71" s="121" t="n"/>
      <c r="H71" s="121" t="n"/>
      <c r="I71" s="121" t="n"/>
      <c r="J71" s="121" t="n"/>
      <c r="K71" s="121" t="n"/>
      <c r="L71" s="121" t="n"/>
      <c r="M71" s="121" t="n"/>
      <c r="N71" s="121" t="n"/>
      <c r="O71" s="121" t="n"/>
      <c r="P71" s="121" t="n"/>
      <c r="Q71" s="121" t="n"/>
      <c r="R71" s="121" t="n"/>
      <c r="S71" s="121" t="n"/>
      <c r="T71" s="121" t="n"/>
      <c r="U71" s="121" t="n"/>
      <c r="V71" s="121" t="n"/>
      <c r="W71" s="121" t="n"/>
      <c r="X71" s="121" t="n"/>
      <c r="Y71" s="121" t="n"/>
      <c r="Z71" s="121" t="n"/>
    </row>
    <row r="72" ht="15.75" customHeight="1" s="122">
      <c r="A72" s="121" t="n"/>
      <c r="B72" s="121" t="n"/>
      <c r="C72" s="121" t="n"/>
      <c r="D72" s="121" t="n"/>
      <c r="E72" s="121" t="n"/>
      <c r="F72" s="121" t="n"/>
      <c r="G72" s="121" t="n"/>
      <c r="H72" s="121" t="n"/>
      <c r="I72" s="121" t="n"/>
      <c r="J72" s="121" t="n"/>
      <c r="K72" s="121" t="n"/>
      <c r="L72" s="121" t="n"/>
      <c r="M72" s="121" t="n"/>
      <c r="N72" s="121" t="n"/>
      <c r="O72" s="121" t="n"/>
      <c r="P72" s="121" t="n"/>
      <c r="Q72" s="121" t="n"/>
      <c r="R72" s="121" t="n"/>
      <c r="S72" s="121" t="n"/>
      <c r="T72" s="121" t="n"/>
      <c r="U72" s="121" t="n"/>
      <c r="V72" s="121" t="n"/>
      <c r="W72" s="121" t="n"/>
      <c r="X72" s="121" t="n"/>
      <c r="Y72" s="121" t="n"/>
      <c r="Z72" s="121" t="n"/>
    </row>
    <row r="73" ht="15.75" customHeight="1" s="122">
      <c r="A73" s="121" t="n"/>
      <c r="B73" s="121" t="n"/>
      <c r="C73" s="121" t="n"/>
      <c r="D73" s="121" t="n"/>
      <c r="E73" s="121" t="n"/>
      <c r="F73" s="121" t="n"/>
      <c r="G73" s="121" t="n"/>
      <c r="H73" s="121" t="n"/>
      <c r="I73" s="121" t="n"/>
      <c r="J73" s="121" t="n"/>
      <c r="K73" s="121" t="n"/>
      <c r="L73" s="121" t="n"/>
      <c r="M73" s="121" t="n"/>
      <c r="N73" s="121" t="n"/>
      <c r="O73" s="121" t="n"/>
      <c r="P73" s="121" t="n"/>
      <c r="Q73" s="121" t="n"/>
      <c r="R73" s="121" t="n"/>
      <c r="S73" s="121" t="n"/>
      <c r="T73" s="121" t="n"/>
      <c r="U73" s="121" t="n"/>
      <c r="V73" s="121" t="n"/>
      <c r="W73" s="121" t="n"/>
      <c r="X73" s="121" t="n"/>
      <c r="Y73" s="121" t="n"/>
      <c r="Z73" s="121" t="n"/>
    </row>
    <row r="74" ht="15.75" customHeight="1" s="122">
      <c r="A74" s="121" t="n"/>
      <c r="B74" s="121" t="n"/>
      <c r="C74" s="121" t="n"/>
      <c r="D74" s="121" t="n"/>
      <c r="E74" s="121" t="n"/>
      <c r="F74" s="121" t="n"/>
      <c r="G74" s="121" t="n"/>
      <c r="H74" s="121" t="n"/>
      <c r="I74" s="121" t="n"/>
      <c r="J74" s="121" t="n"/>
      <c r="K74" s="121" t="n"/>
      <c r="L74" s="121" t="n"/>
      <c r="M74" s="121" t="n"/>
      <c r="N74" s="121" t="n"/>
      <c r="O74" s="121" t="n"/>
      <c r="P74" s="121" t="n"/>
      <c r="Q74" s="121" t="n"/>
      <c r="R74" s="121" t="n"/>
      <c r="S74" s="121" t="n"/>
      <c r="T74" s="121" t="n"/>
      <c r="U74" s="121" t="n"/>
      <c r="V74" s="121" t="n"/>
      <c r="W74" s="121" t="n"/>
      <c r="X74" s="121" t="n"/>
      <c r="Y74" s="121" t="n"/>
      <c r="Z74" s="121" t="n"/>
    </row>
    <row r="75" ht="15.75" customHeight="1" s="122">
      <c r="A75" s="121" t="n"/>
      <c r="B75" s="121" t="n"/>
      <c r="C75" s="121" t="n"/>
      <c r="D75" s="121" t="n"/>
      <c r="E75" s="121" t="n"/>
      <c r="F75" s="121" t="n"/>
      <c r="G75" s="121" t="n"/>
      <c r="H75" s="121" t="n"/>
      <c r="I75" s="121" t="n"/>
      <c r="J75" s="121" t="n"/>
      <c r="K75" s="121" t="n"/>
      <c r="L75" s="121" t="n"/>
      <c r="M75" s="121" t="n"/>
      <c r="N75" s="121" t="n"/>
      <c r="O75" s="121" t="n"/>
      <c r="P75" s="121" t="n"/>
      <c r="Q75" s="121" t="n"/>
      <c r="R75" s="121" t="n"/>
      <c r="S75" s="121" t="n"/>
      <c r="T75" s="121" t="n"/>
      <c r="U75" s="121" t="n"/>
      <c r="V75" s="121" t="n"/>
      <c r="W75" s="121" t="n"/>
      <c r="X75" s="121" t="n"/>
      <c r="Y75" s="121" t="n"/>
      <c r="Z75" s="121" t="n"/>
    </row>
    <row r="76" ht="15.75" customHeight="1" s="122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</row>
    <row r="77" ht="15.75" customHeight="1" s="122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</row>
    <row r="78" ht="15.75" customHeight="1" s="122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</row>
    <row r="79" ht="15.75" customHeight="1" s="122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</row>
    <row r="80" ht="15.75" customHeight="1" s="122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</row>
    <row r="81" ht="15.75" customHeight="1" s="122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</row>
    <row r="82" ht="15.75" customHeight="1" s="122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</row>
    <row r="83" ht="15.75" customHeight="1" s="122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</row>
    <row r="84" ht="15.75" customHeight="1" s="122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</row>
    <row r="85" ht="15.75" customHeight="1" s="122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</row>
    <row r="86" ht="15.75" customHeight="1" s="122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</row>
    <row r="87" ht="15.75" customHeight="1" s="122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</row>
    <row r="88" ht="15.75" customHeight="1" s="122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</row>
    <row r="89" ht="15.75" customHeight="1" s="122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</row>
    <row r="90" ht="15.75" customHeight="1" s="122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</row>
    <row r="91" ht="15.75" customHeight="1" s="122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</row>
    <row r="92" ht="15.75" customHeight="1" s="122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</row>
    <row r="93" ht="15.75" customHeight="1" s="122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</row>
    <row r="94" ht="15.75" customHeight="1" s="122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</row>
    <row r="95" ht="15.75" customHeight="1" s="122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</row>
    <row r="96" ht="15.75" customHeight="1" s="122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</row>
    <row r="97" ht="15.75" customHeight="1" s="122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</row>
    <row r="98" ht="15.75" customHeight="1" s="122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</row>
    <row r="99" ht="15.75" customHeight="1" s="122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</row>
    <row r="100" ht="15.75" customHeight="1" s="122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</row>
    <row r="101" ht="15.75" customHeight="1" s="122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</row>
    <row r="102" ht="15.75" customHeight="1" s="122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</row>
    <row r="103" ht="15.75" customHeight="1" s="122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</row>
    <row r="104" ht="15.75" customHeight="1" s="122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</row>
    <row r="105" ht="15.75" customHeight="1" s="122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</row>
    <row r="106" ht="15.75" customHeight="1" s="122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</row>
    <row r="107" ht="15.75" customHeight="1" s="122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</row>
    <row r="108" ht="15.75" customHeight="1" s="122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</row>
    <row r="109" ht="15.75" customHeight="1" s="122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</row>
    <row r="110" ht="15.75" customHeight="1" s="122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</row>
    <row r="111" ht="15.75" customHeight="1" s="122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</row>
    <row r="112" ht="15.75" customHeight="1" s="122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</row>
    <row r="113" ht="15.75" customHeight="1" s="122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</row>
    <row r="114" ht="15.75" customHeight="1" s="122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</row>
    <row r="115" ht="15.75" customHeight="1" s="122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</row>
    <row r="116" ht="15.75" customHeight="1" s="122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</row>
    <row r="117" ht="15.75" customHeight="1" s="122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</row>
    <row r="118" ht="15.75" customHeight="1" s="122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</row>
    <row r="119" ht="15.75" customHeight="1" s="122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</row>
    <row r="120" ht="15.75" customHeight="1" s="122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</row>
    <row r="121" ht="15.75" customHeight="1" s="122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</row>
    <row r="122" ht="15.75" customHeight="1" s="122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</row>
    <row r="123" ht="15.75" customHeight="1" s="122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</row>
    <row r="124" ht="15.75" customHeight="1" s="122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</row>
    <row r="125" ht="15.75" customHeight="1" s="122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</row>
    <row r="126" ht="15.75" customHeight="1" s="122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</row>
    <row r="127" ht="15.75" customHeight="1" s="122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</row>
    <row r="128" ht="15.75" customHeight="1" s="122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</row>
    <row r="129" ht="15.75" customHeight="1" s="122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</row>
    <row r="130" ht="15.75" customHeight="1" s="122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</row>
    <row r="131" ht="15.75" customHeight="1" s="122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</row>
    <row r="132" ht="15.75" customHeight="1" s="122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</row>
    <row r="133" ht="15.75" customHeight="1" s="122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</row>
    <row r="134" ht="15.75" customHeight="1" s="122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</row>
    <row r="135" ht="15.75" customHeight="1" s="122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</row>
    <row r="136" ht="15.75" customHeight="1" s="122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</row>
    <row r="137" ht="15.75" customHeight="1" s="122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</row>
    <row r="138" ht="15.75" customHeight="1" s="122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</row>
    <row r="139" ht="15.75" customHeight="1" s="122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</row>
    <row r="140" ht="15.75" customHeight="1" s="122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</row>
    <row r="141" ht="15.75" customHeight="1" s="122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</row>
    <row r="142" ht="15.75" customHeight="1" s="122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</row>
    <row r="143" ht="15.75" customHeight="1" s="122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</row>
    <row r="144" ht="15.75" customHeight="1" s="122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</row>
    <row r="145" ht="15.75" customHeight="1" s="122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</row>
    <row r="146" ht="15.75" customHeight="1" s="122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</row>
    <row r="147" ht="15.75" customHeight="1" s="122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</row>
    <row r="148" ht="15.75" customHeight="1" s="122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</row>
    <row r="149" ht="15.75" customHeight="1" s="122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</row>
    <row r="150" ht="15.75" customHeight="1" s="122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</row>
    <row r="151" ht="15.75" customHeight="1" s="122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</row>
    <row r="152" ht="15.75" customHeight="1" s="122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</row>
    <row r="153" ht="15.75" customHeight="1" s="122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</row>
    <row r="154" ht="15.75" customHeight="1" s="122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</row>
    <row r="155" ht="15.75" customHeight="1" s="122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</row>
    <row r="156" ht="15.75" customHeight="1" s="122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</row>
    <row r="157" ht="15.75" customHeight="1" s="122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</row>
    <row r="158" ht="15.75" customHeight="1" s="122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</row>
    <row r="159" ht="15.75" customHeight="1" s="122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</row>
    <row r="160" ht="15.75" customHeight="1" s="122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</row>
    <row r="161" ht="15.75" customHeight="1" s="122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</row>
    <row r="162" ht="15.75" customHeight="1" s="122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</row>
    <row r="163" ht="15.75" customHeight="1" s="122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</row>
    <row r="164" ht="15.75" customHeight="1" s="122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</row>
    <row r="165" ht="15.75" customHeight="1" s="122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</row>
    <row r="166" ht="15.75" customHeight="1" s="122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</row>
    <row r="167" ht="15.75" customHeight="1" s="122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</row>
    <row r="168" ht="15.75" customHeight="1" s="122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</row>
    <row r="169" ht="15.75" customHeight="1" s="122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</row>
    <row r="170" ht="15.75" customHeight="1" s="122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</row>
    <row r="171" ht="15.75" customHeight="1" s="122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</row>
    <row r="172" ht="15.75" customHeight="1" s="122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</row>
    <row r="173" ht="15.75" customHeight="1" s="122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</row>
    <row r="174" ht="15.75" customHeight="1" s="122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</row>
    <row r="175" ht="15.75" customHeight="1" s="122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</row>
    <row r="176" ht="15.75" customHeight="1" s="122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</row>
    <row r="177" ht="15.75" customHeight="1" s="122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</row>
    <row r="178" ht="15.75" customHeight="1" s="122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</row>
    <row r="179" ht="15.75" customHeight="1" s="122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</row>
    <row r="180" ht="15.75" customHeight="1" s="122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</row>
    <row r="181" ht="15.75" customHeight="1" s="122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</row>
    <row r="182" ht="15.75" customHeight="1" s="122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</row>
    <row r="183" ht="15.75" customHeight="1" s="122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</row>
    <row r="184" ht="15.75" customHeight="1" s="122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</row>
    <row r="185" ht="15.75" customHeight="1" s="122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</row>
    <row r="186" ht="15.75" customHeight="1" s="122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</row>
    <row r="187" ht="15.75" customHeight="1" s="122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</row>
    <row r="188" ht="15.75" customHeight="1" s="122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</row>
    <row r="189" ht="15.75" customHeight="1" s="122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</row>
    <row r="190" ht="15.75" customHeight="1" s="122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</row>
    <row r="191" ht="15.75" customHeight="1" s="122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</row>
    <row r="192" ht="15.75" customHeight="1" s="122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</row>
    <row r="193" ht="15.75" customHeight="1" s="122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</row>
    <row r="194" ht="15.75" customHeight="1" s="122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</row>
    <row r="195" ht="15.75" customHeight="1" s="122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</row>
    <row r="196" ht="15.75" customHeight="1" s="122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</row>
    <row r="197" ht="15.75" customHeight="1" s="122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</row>
    <row r="198" ht="15.75" customHeight="1" s="122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</row>
    <row r="199" ht="15.75" customHeight="1" s="122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</row>
    <row r="200" ht="15.75" customHeight="1" s="122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</row>
    <row r="201" ht="15.75" customHeight="1" s="122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</row>
    <row r="202" ht="15.75" customHeight="1" s="122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</row>
    <row r="203" ht="15.75" customHeight="1" s="122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</row>
    <row r="204" ht="15.75" customHeight="1" s="122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</row>
    <row r="205" ht="15.75" customHeight="1" s="122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</row>
    <row r="206" ht="15.75" customHeight="1" s="122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</row>
    <row r="207" ht="15.75" customHeight="1" s="122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</row>
    <row r="208" ht="15.75" customHeight="1" s="122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</row>
    <row r="209" ht="15.75" customHeight="1" s="122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</row>
    <row r="210" ht="15.75" customHeight="1" s="122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</row>
    <row r="211" ht="15.75" customHeight="1" s="122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</row>
    <row r="212" ht="15.75" customHeight="1" s="122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</row>
    <row r="213" ht="15.75" customHeight="1" s="122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</row>
    <row r="214" ht="15.75" customHeight="1" s="122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</row>
    <row r="215" ht="15.75" customHeight="1" s="122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</row>
    <row r="216" ht="15.75" customHeight="1" s="122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</row>
    <row r="217" ht="15.75" customHeight="1" s="122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</row>
    <row r="218" ht="15.75" customHeight="1" s="122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</row>
    <row r="219" ht="15.75" customHeight="1" s="122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</row>
    <row r="220" ht="15.75" customHeight="1" s="122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</row>
    <row r="221" ht="15.75" customHeight="1" s="122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</row>
    <row r="222" ht="15.75" customHeight="1" s="122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</row>
    <row r="223" ht="15.75" customHeight="1" s="122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</row>
    <row r="224" ht="15.75" customHeight="1" s="122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</row>
    <row r="225" ht="15.75" customHeight="1" s="122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</row>
    <row r="226" ht="15.75" customHeight="1" s="122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</row>
    <row r="227" ht="15.75" customHeight="1" s="122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</row>
    <row r="228" ht="15.75" customHeight="1" s="122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</row>
    <row r="229" ht="15.75" customHeight="1" s="122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</row>
    <row r="230" ht="15.75" customHeight="1" s="122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</row>
    <row r="231" ht="15.75" customHeight="1" s="122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</row>
    <row r="232" ht="15.75" customHeight="1" s="122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</row>
    <row r="233" ht="15.75" customHeight="1" s="122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</row>
    <row r="234" ht="15.75" customHeight="1" s="122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</row>
    <row r="235" ht="15.75" customHeight="1" s="122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</row>
    <row r="236" ht="15.75" customHeight="1" s="122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</row>
    <row r="237" ht="15.75" customHeight="1" s="122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</row>
    <row r="238" ht="15.75" customHeight="1" s="122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</row>
    <row r="239" ht="15.75" customHeight="1" s="122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</row>
    <row r="240" ht="15.75" customHeight="1" s="122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</row>
    <row r="241" ht="15.75" customHeight="1" s="122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</row>
    <row r="242" ht="15.75" customHeight="1" s="122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</row>
    <row r="243" ht="15.75" customHeight="1" s="122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</row>
    <row r="244" ht="15.75" customHeight="1" s="122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</row>
    <row r="245" ht="15.75" customHeight="1" s="122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</row>
    <row r="246" ht="15.75" customHeight="1" s="122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</row>
    <row r="247" ht="15.75" customHeight="1" s="122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</row>
    <row r="248" ht="15.75" customHeight="1" s="122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</row>
    <row r="249" ht="15.75" customHeight="1" s="122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</row>
    <row r="250" ht="15.75" customHeight="1" s="122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</row>
    <row r="251" ht="15.75" customHeight="1" s="122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</row>
    <row r="252" ht="15.75" customHeight="1" s="122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</row>
    <row r="253" ht="15.75" customHeight="1" s="122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</row>
    <row r="254" ht="15.75" customHeight="1" s="122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</row>
    <row r="255" ht="15.75" customHeight="1" s="122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</row>
    <row r="256" ht="15.75" customHeight="1" s="122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</row>
    <row r="257" ht="15.75" customHeight="1" s="122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</row>
    <row r="258" ht="15.75" customHeight="1" s="122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</row>
    <row r="259" ht="15.75" customHeight="1" s="122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</row>
    <row r="260" ht="15.75" customHeight="1" s="122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</row>
    <row r="261" ht="15.75" customHeight="1" s="122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</row>
    <row r="262" ht="15.75" customHeight="1" s="122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</row>
    <row r="263" ht="15.75" customHeight="1" s="122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</row>
    <row r="264" ht="15.75" customHeight="1" s="122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</row>
    <row r="265" ht="15.75" customHeight="1" s="122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</row>
    <row r="266" ht="15.75" customHeight="1" s="122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</row>
    <row r="267" ht="15.75" customHeight="1" s="122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</row>
    <row r="268" ht="15.75" customHeight="1" s="122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</row>
    <row r="269" ht="15.75" customHeight="1" s="122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</row>
    <row r="270" ht="15.75" customHeight="1" s="122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</row>
    <row r="271" ht="15.75" customHeight="1" s="122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</row>
    <row r="272" ht="15.75" customHeight="1" s="122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</row>
    <row r="273" ht="15.75" customHeight="1" s="122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</row>
    <row r="274" ht="15.75" customHeight="1" s="122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</row>
    <row r="275" ht="15.75" customHeight="1" s="122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</row>
    <row r="276" ht="15.75" customHeight="1" s="122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</row>
    <row r="277" ht="15.75" customHeight="1" s="122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</row>
    <row r="278" ht="15.75" customHeight="1" s="122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</row>
    <row r="279" ht="15.75" customHeight="1" s="122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</row>
    <row r="280" ht="15.75" customHeight="1" s="122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</row>
    <row r="281" ht="15.75" customHeight="1" s="122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</row>
    <row r="282" ht="15.75" customHeight="1" s="122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</row>
    <row r="283" ht="15.75" customHeight="1" s="122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</row>
    <row r="284" ht="15.75" customHeight="1" s="122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</row>
    <row r="285" ht="15.75" customHeight="1" s="122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</row>
    <row r="286" ht="15.75" customHeight="1" s="122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</row>
    <row r="287" ht="15.75" customHeight="1" s="122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</row>
    <row r="288" ht="15.75" customHeight="1" s="122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</row>
    <row r="289" ht="15.75" customHeight="1" s="122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</row>
    <row r="290" ht="15.75" customHeight="1" s="122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</row>
    <row r="291" ht="15.75" customHeight="1" s="122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</row>
    <row r="292" ht="15.75" customHeight="1" s="122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</row>
    <row r="293" ht="15.75" customHeight="1" s="122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</row>
    <row r="294" ht="15.75" customHeight="1" s="122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</row>
    <row r="295" ht="15.75" customHeight="1" s="122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</row>
    <row r="296" ht="15.75" customHeight="1" s="122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</row>
    <row r="297" ht="15.75" customHeight="1" s="122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</row>
    <row r="298" ht="15.75" customHeight="1" s="122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</row>
    <row r="299" ht="15.75" customHeight="1" s="122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</row>
    <row r="300" ht="15.75" customHeight="1" s="122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</row>
    <row r="301" ht="15.75" customHeight="1" s="122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</row>
    <row r="302" ht="15.75" customHeight="1" s="122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</row>
    <row r="303" ht="15.75" customHeight="1" s="122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</row>
    <row r="304" ht="15.75" customHeight="1" s="122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</row>
    <row r="305" ht="15.75" customHeight="1" s="122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</row>
    <row r="306" ht="15.75" customHeight="1" s="122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</row>
    <row r="307" ht="15.75" customHeight="1" s="122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</row>
    <row r="308" ht="15.75" customHeight="1" s="122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</row>
    <row r="309" ht="15.75" customHeight="1" s="122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</row>
    <row r="310" ht="15.75" customHeight="1" s="122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</row>
    <row r="311" ht="15.75" customHeight="1" s="122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</row>
    <row r="312" ht="15.75" customHeight="1" s="122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</row>
    <row r="313" ht="15.75" customHeight="1" s="122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</row>
    <row r="314" ht="15.75" customHeight="1" s="122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</row>
    <row r="315" ht="15.75" customHeight="1" s="122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</row>
    <row r="316" ht="15.75" customHeight="1" s="122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</row>
    <row r="317" ht="15.75" customHeight="1" s="122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</row>
    <row r="318" ht="15.75" customHeight="1" s="122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</row>
    <row r="319" ht="15.75" customHeight="1" s="122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</row>
    <row r="320" ht="15.75" customHeight="1" s="122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</row>
    <row r="321" ht="15.75" customHeight="1" s="122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</row>
    <row r="322" ht="15.75" customHeight="1" s="122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</row>
    <row r="323" ht="15.75" customHeight="1" s="122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</row>
    <row r="324" ht="15.75" customHeight="1" s="122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</row>
    <row r="325" ht="15.75" customHeight="1" s="122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</row>
    <row r="326" ht="15.75" customHeight="1" s="122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</row>
    <row r="327" ht="15.75" customHeight="1" s="122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</row>
    <row r="328" ht="15.75" customHeight="1" s="122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</row>
    <row r="329" ht="15.75" customHeight="1" s="122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</row>
    <row r="330" ht="15.75" customHeight="1" s="122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</row>
    <row r="331" ht="15.75" customHeight="1" s="122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</row>
    <row r="332" ht="15.75" customHeight="1" s="122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</row>
    <row r="333" ht="15.75" customHeight="1" s="122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</row>
    <row r="334" ht="15.75" customHeight="1" s="122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</row>
    <row r="335" ht="15.75" customHeight="1" s="122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</row>
    <row r="336" ht="15.75" customHeight="1" s="122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</row>
    <row r="337" ht="15.75" customHeight="1" s="122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</row>
    <row r="338" ht="15.75" customHeight="1" s="122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</row>
    <row r="339" ht="15.75" customHeight="1" s="122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</row>
    <row r="340" ht="15.75" customHeight="1" s="122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</row>
    <row r="341" ht="15.75" customHeight="1" s="122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</row>
    <row r="342" ht="15.75" customHeight="1" s="122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</row>
    <row r="343" ht="15.75" customHeight="1" s="122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</row>
    <row r="344" ht="15.75" customHeight="1" s="122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</row>
    <row r="345" ht="15.75" customHeight="1" s="122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</row>
    <row r="346" ht="15.75" customHeight="1" s="122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</row>
    <row r="347" ht="15.75" customHeight="1" s="122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</row>
    <row r="348" ht="15.75" customHeight="1" s="122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</row>
    <row r="349" ht="15.75" customHeight="1" s="122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</row>
    <row r="350" ht="15.75" customHeight="1" s="122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</row>
    <row r="351" ht="15.75" customHeight="1" s="122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</row>
    <row r="352" ht="15.75" customHeight="1" s="122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</row>
    <row r="353" ht="15.75" customHeight="1" s="122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</row>
    <row r="354" ht="15.75" customHeight="1" s="122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</row>
    <row r="355" ht="15.75" customHeight="1" s="122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</row>
    <row r="356" ht="15.75" customHeight="1" s="122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</row>
    <row r="357" ht="15.75" customHeight="1" s="122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</row>
    <row r="358" ht="15.75" customHeight="1" s="122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</row>
    <row r="359" ht="15.75" customHeight="1" s="122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</row>
    <row r="360" ht="15.75" customHeight="1" s="122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</row>
    <row r="361" ht="15.75" customHeight="1" s="122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</row>
    <row r="362" ht="15.75" customHeight="1" s="122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</row>
    <row r="363" ht="15.75" customHeight="1" s="122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</row>
    <row r="364" ht="15.75" customHeight="1" s="122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</row>
    <row r="365" ht="15.75" customHeight="1" s="122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</row>
    <row r="366" ht="15.75" customHeight="1" s="122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</row>
    <row r="367" ht="15.75" customHeight="1" s="122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</row>
    <row r="368" ht="15.75" customHeight="1" s="122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</row>
    <row r="369" ht="15.75" customHeight="1" s="122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</row>
    <row r="370" ht="15.75" customHeight="1" s="122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</row>
    <row r="371" ht="15.75" customHeight="1" s="122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</row>
    <row r="372" ht="15.75" customHeight="1" s="122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</row>
    <row r="373" ht="15.75" customHeight="1" s="122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</row>
    <row r="374" ht="15.75" customHeight="1" s="122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</row>
    <row r="375" ht="15.75" customHeight="1" s="122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</row>
    <row r="376" ht="15.75" customHeight="1" s="122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</row>
    <row r="377" ht="15.75" customHeight="1" s="122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</row>
    <row r="378" ht="15.75" customHeight="1" s="122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</row>
    <row r="379" ht="15.75" customHeight="1" s="122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</row>
    <row r="380" ht="15.75" customHeight="1" s="122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</row>
    <row r="381" ht="15.75" customHeight="1" s="122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</row>
    <row r="382" ht="15.75" customHeight="1" s="122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</row>
    <row r="383" ht="15.75" customHeight="1" s="122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</row>
    <row r="384" ht="15.75" customHeight="1" s="122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</row>
    <row r="385" ht="15.75" customHeight="1" s="122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</row>
    <row r="386" ht="15.75" customHeight="1" s="122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</row>
    <row r="387" ht="15.75" customHeight="1" s="122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</row>
    <row r="388" ht="15.75" customHeight="1" s="122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</row>
    <row r="389" ht="15.75" customHeight="1" s="122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</row>
    <row r="390" ht="15.75" customHeight="1" s="122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</row>
    <row r="391" ht="15.75" customHeight="1" s="122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</row>
    <row r="392" ht="15.75" customHeight="1" s="122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</row>
    <row r="393" ht="15.75" customHeight="1" s="122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</row>
    <row r="394" ht="15.75" customHeight="1" s="122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</row>
    <row r="395" ht="15.75" customHeight="1" s="122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</row>
    <row r="396" ht="15.75" customHeight="1" s="122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</row>
    <row r="397" ht="15.75" customHeight="1" s="122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</row>
    <row r="398" ht="15.75" customHeight="1" s="122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</row>
    <row r="399" ht="15.75" customHeight="1" s="122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</row>
    <row r="400" ht="15.75" customHeight="1" s="122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</row>
    <row r="401" ht="15.75" customHeight="1" s="122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</row>
    <row r="402" ht="15.75" customHeight="1" s="122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</row>
    <row r="403" ht="15.75" customHeight="1" s="122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</row>
    <row r="404" ht="15.75" customHeight="1" s="122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</row>
    <row r="405" ht="15.75" customHeight="1" s="122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</row>
    <row r="406" ht="15.75" customHeight="1" s="122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</row>
    <row r="407" ht="15.75" customHeight="1" s="122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</row>
    <row r="408" ht="15.75" customHeight="1" s="122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</row>
    <row r="409" ht="15.75" customHeight="1" s="122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</row>
    <row r="410" ht="15.75" customHeight="1" s="122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</row>
    <row r="411" ht="15.75" customHeight="1" s="122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</row>
    <row r="412" ht="15.75" customHeight="1" s="122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</row>
    <row r="413" ht="15.75" customHeight="1" s="122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</row>
    <row r="414" ht="15.75" customHeight="1" s="122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</row>
    <row r="415" ht="15.75" customHeight="1" s="122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</row>
    <row r="416" ht="15.75" customHeight="1" s="122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</row>
    <row r="417" ht="15.75" customHeight="1" s="122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</row>
    <row r="418" ht="15.75" customHeight="1" s="122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</row>
    <row r="419" ht="15.75" customHeight="1" s="122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</row>
    <row r="420" ht="15.75" customHeight="1" s="122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</row>
    <row r="421" ht="15.75" customHeight="1" s="122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</row>
    <row r="422" ht="15.75" customHeight="1" s="122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</row>
    <row r="423" ht="15.75" customHeight="1" s="122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</row>
    <row r="424" ht="15.75" customHeight="1" s="122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</row>
    <row r="425" ht="15.75" customHeight="1" s="122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</row>
    <row r="426" ht="15.75" customHeight="1" s="122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</row>
    <row r="427" ht="15.75" customHeight="1" s="122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</row>
    <row r="428" ht="15.75" customHeight="1" s="122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</row>
    <row r="429" ht="15.75" customHeight="1" s="122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</row>
    <row r="430" ht="15.75" customHeight="1" s="122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</row>
    <row r="431" ht="15.75" customHeight="1" s="122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</row>
    <row r="432" ht="15.75" customHeight="1" s="122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</row>
    <row r="433" ht="15.75" customHeight="1" s="122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</row>
    <row r="434" ht="15.75" customHeight="1" s="122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</row>
    <row r="435" ht="15.75" customHeight="1" s="122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</row>
    <row r="436" ht="15.75" customHeight="1" s="122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</row>
    <row r="437" ht="15.75" customHeight="1" s="122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</row>
    <row r="438" ht="15.75" customHeight="1" s="122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</row>
    <row r="439" ht="15.75" customHeight="1" s="122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</row>
    <row r="440" ht="15.75" customHeight="1" s="122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</row>
    <row r="441" ht="15.75" customHeight="1" s="122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</row>
    <row r="442" ht="15.75" customHeight="1" s="122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</row>
    <row r="443" ht="15.75" customHeight="1" s="122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</row>
    <row r="444" ht="15.75" customHeight="1" s="122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</row>
    <row r="445" ht="15.75" customHeight="1" s="122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</row>
    <row r="446" ht="15.75" customHeight="1" s="122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</row>
    <row r="447" ht="15.75" customHeight="1" s="122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</row>
    <row r="448" ht="15.75" customHeight="1" s="122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</row>
    <row r="449" ht="15.75" customHeight="1" s="122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</row>
    <row r="450" ht="15.75" customHeight="1" s="122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</row>
    <row r="451" ht="15.75" customHeight="1" s="122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</row>
    <row r="452" ht="15.75" customHeight="1" s="122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</row>
    <row r="453" ht="15.75" customHeight="1" s="122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</row>
    <row r="454" ht="15.75" customHeight="1" s="122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</row>
    <row r="455" ht="15.75" customHeight="1" s="122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</row>
    <row r="456" ht="15.75" customHeight="1" s="122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</row>
    <row r="457" ht="15.75" customHeight="1" s="122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</row>
    <row r="458" ht="15.75" customHeight="1" s="122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</row>
    <row r="459" ht="15.75" customHeight="1" s="122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</row>
    <row r="460" ht="15.75" customHeight="1" s="122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</row>
    <row r="461" ht="15.75" customHeight="1" s="122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</row>
    <row r="462" ht="15.75" customHeight="1" s="122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</row>
    <row r="463" ht="15.75" customHeight="1" s="122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</row>
    <row r="464" ht="15.75" customHeight="1" s="122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</row>
    <row r="465" ht="15.75" customHeight="1" s="122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</row>
    <row r="466" ht="15.75" customHeight="1" s="122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</row>
    <row r="467" ht="15.75" customHeight="1" s="122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</row>
    <row r="468" ht="15.75" customHeight="1" s="122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</row>
    <row r="469" ht="15.75" customHeight="1" s="122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</row>
    <row r="470" ht="15.75" customHeight="1" s="122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</row>
    <row r="471" ht="15.75" customHeight="1" s="122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</row>
    <row r="472" ht="15.75" customHeight="1" s="122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</row>
    <row r="473" ht="15.75" customHeight="1" s="122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</row>
    <row r="474" ht="15.75" customHeight="1" s="122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</row>
    <row r="475" ht="15.75" customHeight="1" s="122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</row>
    <row r="476" ht="15.75" customHeight="1" s="122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</row>
    <row r="477" ht="15.75" customHeight="1" s="122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</row>
    <row r="478" ht="15.75" customHeight="1" s="122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</row>
    <row r="479" ht="15.75" customHeight="1" s="122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</row>
    <row r="480" ht="15.75" customHeight="1" s="122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</row>
    <row r="481" ht="15.75" customHeight="1" s="122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</row>
    <row r="482" ht="15.75" customHeight="1" s="122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</row>
    <row r="483" ht="15.75" customHeight="1" s="122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</row>
    <row r="484" ht="15.75" customHeight="1" s="122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</row>
    <row r="485" ht="15.75" customHeight="1" s="122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</row>
    <row r="486" ht="15.75" customHeight="1" s="122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</row>
    <row r="487" ht="15.75" customHeight="1" s="122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</row>
    <row r="488" ht="15.75" customHeight="1" s="122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</row>
    <row r="489" ht="15.75" customHeight="1" s="122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</row>
    <row r="490" ht="15.75" customHeight="1" s="122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</row>
    <row r="491" ht="15.75" customHeight="1" s="122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</row>
    <row r="492" ht="15.75" customHeight="1" s="122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</row>
    <row r="493" ht="15.75" customHeight="1" s="122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</row>
    <row r="494" ht="15.75" customHeight="1" s="122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</row>
    <row r="495" ht="15.75" customHeight="1" s="122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</row>
    <row r="496" ht="15.75" customHeight="1" s="122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</row>
    <row r="497" ht="15.75" customHeight="1" s="122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</row>
    <row r="498" ht="15.75" customHeight="1" s="122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</row>
    <row r="499" ht="15.75" customHeight="1" s="122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</row>
    <row r="500" ht="15.75" customHeight="1" s="122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</row>
    <row r="501" ht="15.75" customHeight="1" s="122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</row>
    <row r="502" ht="15.75" customHeight="1" s="122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</row>
    <row r="503" ht="15.75" customHeight="1" s="122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</row>
    <row r="504" ht="15.75" customHeight="1" s="122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</row>
    <row r="505" ht="15.75" customHeight="1" s="122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</row>
    <row r="506" ht="15.75" customHeight="1" s="122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</row>
    <row r="507" ht="15.75" customHeight="1" s="122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</row>
    <row r="508" ht="15.75" customHeight="1" s="122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</row>
    <row r="509" ht="15.75" customHeight="1" s="122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</row>
    <row r="510" ht="15.75" customHeight="1" s="122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</row>
    <row r="511" ht="15.75" customHeight="1" s="122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</row>
    <row r="512" ht="15.75" customHeight="1" s="122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</row>
    <row r="513" ht="15.75" customHeight="1" s="122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</row>
    <row r="514" ht="15.75" customHeight="1" s="122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</row>
    <row r="515" ht="15.75" customHeight="1" s="122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</row>
    <row r="516" ht="15.75" customHeight="1" s="122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</row>
    <row r="517" ht="15.75" customHeight="1" s="122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</row>
    <row r="518" ht="15.75" customHeight="1" s="122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</row>
    <row r="519" ht="15.75" customHeight="1" s="122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</row>
    <row r="520" ht="15.75" customHeight="1" s="122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</row>
    <row r="521" ht="15.75" customHeight="1" s="122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</row>
    <row r="522" ht="15.75" customHeight="1" s="122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</row>
    <row r="523" ht="15.75" customHeight="1" s="122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</row>
    <row r="524" ht="15.75" customHeight="1" s="122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</row>
    <row r="525" ht="15.75" customHeight="1" s="122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</row>
    <row r="526" ht="15.75" customHeight="1" s="122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</row>
    <row r="527" ht="15.75" customHeight="1" s="122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</row>
    <row r="528" ht="15.75" customHeight="1" s="122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</row>
    <row r="529" ht="15.75" customHeight="1" s="122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</row>
    <row r="530" ht="15.75" customHeight="1" s="122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</row>
    <row r="531" ht="15.75" customHeight="1" s="122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</row>
    <row r="532" ht="15.75" customHeight="1" s="122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</row>
    <row r="533" ht="15.75" customHeight="1" s="122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</row>
    <row r="534" ht="15.75" customHeight="1" s="122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</row>
    <row r="535" ht="15.75" customHeight="1" s="122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</row>
    <row r="536" ht="15.75" customHeight="1" s="122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</row>
    <row r="537" ht="15.75" customHeight="1" s="122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</row>
    <row r="538" ht="15.75" customHeight="1" s="122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</row>
    <row r="539" ht="15.75" customHeight="1" s="122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</row>
    <row r="540" ht="15.75" customHeight="1" s="122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</row>
    <row r="541" ht="15.75" customHeight="1" s="122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</row>
    <row r="542" ht="15.75" customHeight="1" s="122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</row>
    <row r="543" ht="15.75" customHeight="1" s="122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</row>
    <row r="544" ht="15.75" customHeight="1" s="122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</row>
    <row r="545" ht="15.75" customHeight="1" s="122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</row>
    <row r="546" ht="15.75" customHeight="1" s="122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</row>
    <row r="547" ht="15.75" customHeight="1" s="122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</row>
    <row r="548" ht="15.75" customHeight="1" s="122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</row>
    <row r="549" ht="15.75" customHeight="1" s="122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</row>
    <row r="550" ht="15.75" customHeight="1" s="122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</row>
    <row r="551" ht="15.75" customHeight="1" s="122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</row>
    <row r="552" ht="15.75" customHeight="1" s="122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</row>
    <row r="553" ht="15.75" customHeight="1" s="122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</row>
    <row r="554" ht="15.75" customHeight="1" s="122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</row>
    <row r="555" ht="15.75" customHeight="1" s="122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</row>
    <row r="556" ht="15.75" customHeight="1" s="122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</row>
    <row r="557" ht="15.75" customHeight="1" s="122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</row>
    <row r="558" ht="15.75" customHeight="1" s="122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</row>
    <row r="559" ht="15.75" customHeight="1" s="122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</row>
    <row r="560" ht="15.75" customHeight="1" s="122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</row>
    <row r="561" ht="15.75" customHeight="1" s="122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</row>
    <row r="562" ht="15.75" customHeight="1" s="122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</row>
    <row r="563" ht="15.75" customHeight="1" s="122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</row>
    <row r="564" ht="15.75" customHeight="1" s="122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</row>
    <row r="565" ht="15.75" customHeight="1" s="122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</row>
    <row r="566" ht="15.75" customHeight="1" s="122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</row>
    <row r="567" ht="15.75" customHeight="1" s="122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</row>
    <row r="568" ht="15.75" customHeight="1" s="122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</row>
    <row r="569" ht="15.75" customHeight="1" s="122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</row>
    <row r="570" ht="15.75" customHeight="1" s="122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</row>
    <row r="571" ht="15.75" customHeight="1" s="122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</row>
    <row r="572" ht="15.75" customHeight="1" s="122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</row>
    <row r="573" ht="15.75" customHeight="1" s="122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</row>
    <row r="574" ht="15.75" customHeight="1" s="122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</row>
    <row r="575" ht="15.75" customHeight="1" s="122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</row>
    <row r="576" ht="15.75" customHeight="1" s="122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</row>
    <row r="577" ht="15.75" customHeight="1" s="122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</row>
    <row r="578" ht="15.75" customHeight="1" s="122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</row>
    <row r="579" ht="15.75" customHeight="1" s="122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</row>
    <row r="580" ht="15.75" customHeight="1" s="122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</row>
    <row r="581" ht="15.75" customHeight="1" s="122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</row>
    <row r="582" ht="15.75" customHeight="1" s="122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</row>
    <row r="583" ht="15.75" customHeight="1" s="122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</row>
    <row r="584" ht="15.75" customHeight="1" s="122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</row>
    <row r="585" ht="15.75" customHeight="1" s="122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</row>
    <row r="586" ht="15.75" customHeight="1" s="122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</row>
    <row r="587" ht="15.75" customHeight="1" s="122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</row>
    <row r="588" ht="15.75" customHeight="1" s="122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</row>
    <row r="589" ht="15.75" customHeight="1" s="122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</row>
    <row r="590" ht="15.75" customHeight="1" s="122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</row>
    <row r="591" ht="15.75" customHeight="1" s="122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</row>
    <row r="592" ht="15.75" customHeight="1" s="122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</row>
    <row r="593" ht="15.75" customHeight="1" s="122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</row>
    <row r="594" ht="15.75" customHeight="1" s="122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</row>
    <row r="595" ht="15.75" customHeight="1" s="122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</row>
    <row r="596" ht="15.75" customHeight="1" s="122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</row>
    <row r="597" ht="15.75" customHeight="1" s="122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</row>
    <row r="598" ht="15.75" customHeight="1" s="122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</row>
    <row r="599" ht="15.75" customHeight="1" s="122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</row>
    <row r="600" ht="15.75" customHeight="1" s="122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</row>
    <row r="601" ht="15.75" customHeight="1" s="122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</row>
    <row r="602" ht="15.75" customHeight="1" s="122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</row>
    <row r="603" ht="15.75" customHeight="1" s="122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</row>
    <row r="604" ht="15.75" customHeight="1" s="122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</row>
    <row r="605" ht="15.75" customHeight="1" s="122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</row>
    <row r="606" ht="15.75" customHeight="1" s="122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</row>
    <row r="607" ht="15.75" customHeight="1" s="122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</row>
    <row r="608" ht="15.75" customHeight="1" s="122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</row>
    <row r="609" ht="15.75" customHeight="1" s="122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</row>
    <row r="610" ht="15.75" customHeight="1" s="122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</row>
    <row r="611" ht="15.75" customHeight="1" s="122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</row>
    <row r="612" ht="15.75" customHeight="1" s="122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</row>
    <row r="613" ht="15.75" customHeight="1" s="122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</row>
    <row r="614" ht="15.75" customHeight="1" s="122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</row>
    <row r="615" ht="15.75" customHeight="1" s="122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</row>
    <row r="616" ht="15.75" customHeight="1" s="122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</row>
    <row r="617" ht="15.75" customHeight="1" s="122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</row>
    <row r="618" ht="15.75" customHeight="1" s="122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</row>
    <row r="619" ht="15.75" customHeight="1" s="122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</row>
    <row r="620" ht="15.75" customHeight="1" s="122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</row>
    <row r="621" ht="15.75" customHeight="1" s="122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</row>
    <row r="622" ht="15.75" customHeight="1" s="122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</row>
    <row r="623" ht="15.75" customHeight="1" s="122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</row>
    <row r="624" ht="15.75" customHeight="1" s="122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</row>
    <row r="625" ht="15.75" customHeight="1" s="122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</row>
    <row r="626" ht="15.75" customHeight="1" s="122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</row>
    <row r="627" ht="15.75" customHeight="1" s="122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</row>
    <row r="628" ht="15.75" customHeight="1" s="122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</row>
    <row r="629" ht="15.75" customHeight="1" s="122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</row>
    <row r="630" ht="15.75" customHeight="1" s="122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</row>
    <row r="631" ht="15.75" customHeight="1" s="122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</row>
    <row r="632" ht="15.75" customHeight="1" s="122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</row>
    <row r="633" ht="15.75" customHeight="1" s="122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</row>
    <row r="634" ht="15.75" customHeight="1" s="122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</row>
    <row r="635" ht="15.75" customHeight="1" s="122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</row>
    <row r="636" ht="15.75" customHeight="1" s="122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</row>
    <row r="637" ht="15.75" customHeight="1" s="122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</row>
    <row r="638" ht="15.75" customHeight="1" s="122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</row>
    <row r="639" ht="15.75" customHeight="1" s="122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</row>
    <row r="640" ht="15.75" customHeight="1" s="122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</row>
    <row r="641" ht="15.75" customHeight="1" s="122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</row>
    <row r="642" ht="15.75" customHeight="1" s="122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</row>
    <row r="643" ht="15.75" customHeight="1" s="122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</row>
    <row r="644" ht="15.75" customHeight="1" s="122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</row>
    <row r="645" ht="15.75" customHeight="1" s="122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</row>
    <row r="646" ht="15.75" customHeight="1" s="122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</row>
    <row r="647" ht="15.75" customHeight="1" s="122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</row>
    <row r="648" ht="15.75" customHeight="1" s="122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</row>
    <row r="649" ht="15.75" customHeight="1" s="122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</row>
    <row r="650" ht="15.75" customHeight="1" s="122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</row>
    <row r="651" ht="15.75" customHeight="1" s="122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</row>
    <row r="652" ht="15.75" customHeight="1" s="122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</row>
    <row r="653" ht="15.75" customHeight="1" s="122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</row>
    <row r="654" ht="15.75" customHeight="1" s="122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</row>
    <row r="655" ht="15.75" customHeight="1" s="122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</row>
    <row r="656" ht="15.75" customHeight="1" s="122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</row>
    <row r="657" ht="15.75" customHeight="1" s="122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</row>
    <row r="658" ht="15.75" customHeight="1" s="122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</row>
    <row r="659" ht="15.75" customHeight="1" s="122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</row>
    <row r="660" ht="15.75" customHeight="1" s="122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</row>
    <row r="661" ht="15.75" customHeight="1" s="122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</row>
    <row r="662" ht="15.75" customHeight="1" s="122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</row>
    <row r="663" ht="15.75" customHeight="1" s="122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</row>
    <row r="664" ht="15.75" customHeight="1" s="122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</row>
    <row r="665" ht="15.75" customHeight="1" s="122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</row>
    <row r="666" ht="15.75" customHeight="1" s="122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</row>
    <row r="667" ht="15.75" customHeight="1" s="122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</row>
    <row r="668" ht="15.75" customHeight="1" s="122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</row>
    <row r="669" ht="15.75" customHeight="1" s="122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</row>
    <row r="670" ht="15.75" customHeight="1" s="122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</row>
    <row r="671" ht="15.75" customHeight="1" s="122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</row>
    <row r="672" ht="15.75" customHeight="1" s="122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</row>
    <row r="673" ht="15.75" customHeight="1" s="122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</row>
    <row r="674" ht="15.75" customHeight="1" s="122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</row>
    <row r="675" ht="15.75" customHeight="1" s="122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</row>
    <row r="676" ht="15.75" customHeight="1" s="122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</row>
    <row r="677" ht="15.75" customHeight="1" s="122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</row>
    <row r="678" ht="15.75" customHeight="1" s="122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</row>
    <row r="679" ht="15.75" customHeight="1" s="122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</row>
    <row r="680" ht="15.75" customHeight="1" s="122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</row>
    <row r="681" ht="15.75" customHeight="1" s="122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</row>
    <row r="682" ht="15.75" customHeight="1" s="122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</row>
    <row r="683" ht="15.75" customHeight="1" s="122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</row>
    <row r="684" ht="15.75" customHeight="1" s="122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</row>
    <row r="685" ht="15.75" customHeight="1" s="122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</row>
    <row r="686" ht="15.75" customHeight="1" s="122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</row>
    <row r="687" ht="15.75" customHeight="1" s="122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</row>
    <row r="688" ht="15.75" customHeight="1" s="122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</row>
    <row r="689" ht="15.75" customHeight="1" s="122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</row>
    <row r="690" ht="15.75" customHeight="1" s="122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</row>
    <row r="691" ht="15.75" customHeight="1" s="122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</row>
    <row r="692" ht="15.75" customHeight="1" s="122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</row>
    <row r="693" ht="15.75" customHeight="1" s="122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</row>
    <row r="694" ht="15.75" customHeight="1" s="122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</row>
    <row r="695" ht="15.75" customHeight="1" s="122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</row>
    <row r="696" ht="15.75" customHeight="1" s="122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</row>
    <row r="697" ht="15.75" customHeight="1" s="122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</row>
    <row r="698" ht="15.75" customHeight="1" s="122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</row>
    <row r="699" ht="15.75" customHeight="1" s="122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</row>
    <row r="700" ht="15.75" customHeight="1" s="122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</row>
    <row r="701" ht="15.75" customHeight="1" s="122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</row>
    <row r="702" ht="15.75" customHeight="1" s="122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</row>
    <row r="703" ht="15.75" customHeight="1" s="122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</row>
    <row r="704" ht="15.75" customHeight="1" s="122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</row>
    <row r="705" ht="15.75" customHeight="1" s="122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</row>
    <row r="706" ht="15.75" customHeight="1" s="122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</row>
    <row r="707" ht="15.75" customHeight="1" s="122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</row>
    <row r="708" ht="15.75" customHeight="1" s="122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</row>
    <row r="709" ht="15.75" customHeight="1" s="122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</row>
    <row r="710" ht="15.75" customHeight="1" s="122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</row>
    <row r="711" ht="15.75" customHeight="1" s="122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</row>
    <row r="712" ht="15.75" customHeight="1" s="122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</row>
    <row r="713" ht="15.75" customHeight="1" s="122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</row>
    <row r="714" ht="15.75" customHeight="1" s="122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</row>
    <row r="715" ht="15.75" customHeight="1" s="122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</row>
    <row r="716" ht="15.75" customHeight="1" s="122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</row>
    <row r="717" ht="15.75" customHeight="1" s="122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</row>
    <row r="718" ht="15.75" customHeight="1" s="122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</row>
    <row r="719" ht="15.75" customHeight="1" s="122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</row>
    <row r="720" ht="15.75" customHeight="1" s="122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</row>
    <row r="721" ht="15.75" customHeight="1" s="122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</row>
    <row r="722" ht="15.75" customHeight="1" s="122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</row>
    <row r="723" ht="15.75" customHeight="1" s="122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</row>
    <row r="724" ht="15.75" customHeight="1" s="122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</row>
    <row r="725" ht="15.75" customHeight="1" s="122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</row>
    <row r="726" ht="15.75" customHeight="1" s="122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</row>
    <row r="727" ht="15.75" customHeight="1" s="122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</row>
    <row r="728" ht="15.75" customHeight="1" s="122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</row>
    <row r="729" ht="15.75" customHeight="1" s="122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</row>
    <row r="730" ht="15.75" customHeight="1" s="122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</row>
    <row r="731" ht="15.75" customHeight="1" s="122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</row>
    <row r="732" ht="15.75" customHeight="1" s="122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</row>
    <row r="733" ht="15.75" customHeight="1" s="122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</row>
    <row r="734" ht="15.75" customHeight="1" s="122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</row>
    <row r="735" ht="15.75" customHeight="1" s="122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</row>
    <row r="736" ht="15.75" customHeight="1" s="122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</row>
    <row r="737" ht="15.75" customHeight="1" s="122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</row>
    <row r="738" ht="15.75" customHeight="1" s="122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</row>
    <row r="739" ht="15.75" customHeight="1" s="122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</row>
    <row r="740" ht="15.75" customHeight="1" s="122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</row>
    <row r="741" ht="15.75" customHeight="1" s="122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</row>
    <row r="742" ht="15.75" customHeight="1" s="122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</row>
    <row r="743" ht="15.75" customHeight="1" s="122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</row>
    <row r="744" ht="15.75" customHeight="1" s="122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</row>
    <row r="745" ht="15.75" customHeight="1" s="122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</row>
    <row r="746" ht="15.75" customHeight="1" s="122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</row>
    <row r="747" ht="15.75" customHeight="1" s="122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</row>
    <row r="748" ht="15.75" customHeight="1" s="122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</row>
    <row r="749" ht="15.75" customHeight="1" s="122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</row>
    <row r="750" ht="15.75" customHeight="1" s="122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</row>
    <row r="751" ht="15.75" customHeight="1" s="122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</row>
    <row r="752" ht="15.75" customHeight="1" s="122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</row>
    <row r="753" ht="15.75" customHeight="1" s="122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</row>
    <row r="754" ht="15.75" customHeight="1" s="122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</row>
    <row r="755" ht="15.75" customHeight="1" s="122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</row>
    <row r="756" ht="15.75" customHeight="1" s="122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</row>
    <row r="757" ht="15.75" customHeight="1" s="122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</row>
    <row r="758" ht="15.75" customHeight="1" s="122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</row>
    <row r="759" ht="15.75" customHeight="1" s="122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</row>
    <row r="760" ht="15.75" customHeight="1" s="122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</row>
    <row r="761" ht="15.75" customHeight="1" s="122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</row>
    <row r="762" ht="15.75" customHeight="1" s="122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</row>
    <row r="763" ht="15.75" customHeight="1" s="122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</row>
    <row r="764" ht="15.75" customHeight="1" s="122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</row>
    <row r="765" ht="15.75" customHeight="1" s="122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</row>
    <row r="766" ht="15.75" customHeight="1" s="122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</row>
    <row r="767" ht="15.75" customHeight="1" s="122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</row>
    <row r="768" ht="15.75" customHeight="1" s="122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</row>
    <row r="769" ht="15.75" customHeight="1" s="122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</row>
    <row r="770" ht="15.75" customHeight="1" s="122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</row>
    <row r="771" ht="15.75" customHeight="1" s="122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</row>
    <row r="772" ht="15.75" customHeight="1" s="122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</row>
    <row r="773" ht="15.75" customHeight="1" s="122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</row>
    <row r="774" ht="15.75" customHeight="1" s="122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</row>
    <row r="775" ht="15.75" customHeight="1" s="122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</row>
    <row r="776" ht="15.75" customHeight="1" s="122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</row>
    <row r="777" ht="15.75" customHeight="1" s="122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</row>
    <row r="778" ht="15.75" customHeight="1" s="122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</row>
    <row r="779" ht="15.75" customHeight="1" s="122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</row>
    <row r="780" ht="15.75" customHeight="1" s="122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</row>
    <row r="781" ht="15.75" customHeight="1" s="122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</row>
    <row r="782" ht="15.75" customHeight="1" s="122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</row>
    <row r="783" ht="15.75" customHeight="1" s="122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</row>
    <row r="784" ht="15.75" customHeight="1" s="122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</row>
    <row r="785" ht="15.75" customHeight="1" s="122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</row>
    <row r="786" ht="15.75" customHeight="1" s="122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</row>
    <row r="787" ht="15.75" customHeight="1" s="122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</row>
    <row r="788" ht="15.75" customHeight="1" s="122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</row>
    <row r="789" ht="15.75" customHeight="1" s="122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</row>
    <row r="790" ht="15.75" customHeight="1" s="122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</row>
    <row r="791" ht="15.75" customHeight="1" s="122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</row>
    <row r="792" ht="15.75" customHeight="1" s="122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</row>
    <row r="793" ht="15.75" customHeight="1" s="122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</row>
    <row r="794" ht="15.75" customHeight="1" s="122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</row>
    <row r="795" ht="15.75" customHeight="1" s="122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</row>
    <row r="796" ht="15.75" customHeight="1" s="122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</row>
    <row r="797" ht="15.75" customHeight="1" s="122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</row>
    <row r="798" ht="15.75" customHeight="1" s="122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</row>
    <row r="799" ht="15.75" customHeight="1" s="122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</row>
    <row r="800" ht="15.75" customHeight="1" s="122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</row>
    <row r="801" ht="15.75" customHeight="1" s="122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</row>
    <row r="802" ht="15.75" customHeight="1" s="122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</row>
    <row r="803" ht="15.75" customHeight="1" s="122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</row>
    <row r="804" ht="15.75" customHeight="1" s="122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</row>
    <row r="805" ht="15.75" customHeight="1" s="122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</row>
    <row r="806" ht="15.75" customHeight="1" s="122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</row>
    <row r="807" ht="15.75" customHeight="1" s="122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</row>
    <row r="808" ht="15.75" customHeight="1" s="122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</row>
    <row r="809" ht="15.75" customHeight="1" s="122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</row>
    <row r="810" ht="15.75" customHeight="1" s="122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</row>
    <row r="811" ht="15.75" customHeight="1" s="122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</row>
    <row r="812" ht="15.75" customHeight="1" s="122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</row>
    <row r="813" ht="15.75" customHeight="1" s="122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</row>
    <row r="814" ht="15.75" customHeight="1" s="122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</row>
    <row r="815" ht="15.75" customHeight="1" s="122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</row>
    <row r="816" ht="15.75" customHeight="1" s="122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</row>
    <row r="817" ht="15.75" customHeight="1" s="122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</row>
    <row r="818" ht="15.75" customHeight="1" s="122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</row>
    <row r="819" ht="15.75" customHeight="1" s="122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</row>
    <row r="820" ht="15.75" customHeight="1" s="122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</row>
    <row r="821" ht="15.75" customHeight="1" s="122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</row>
    <row r="822" ht="15.75" customHeight="1" s="122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</row>
    <row r="823" ht="15.75" customHeight="1" s="122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</row>
    <row r="824" ht="15.75" customHeight="1" s="122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</row>
    <row r="825" ht="15.75" customHeight="1" s="122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</row>
    <row r="826" ht="15.75" customHeight="1" s="122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</row>
    <row r="827" ht="15.75" customHeight="1" s="122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</row>
    <row r="828" ht="15.75" customHeight="1" s="122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</row>
    <row r="829" ht="15.75" customHeight="1" s="122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</row>
    <row r="830" ht="15.75" customHeight="1" s="122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</row>
    <row r="831" ht="15.75" customHeight="1" s="122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</row>
    <row r="832" ht="15.75" customHeight="1" s="122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</row>
    <row r="833" ht="15.75" customHeight="1" s="122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</row>
    <row r="834" ht="15.75" customHeight="1" s="122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</row>
    <row r="835" ht="15.75" customHeight="1" s="122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</row>
    <row r="836" ht="15.75" customHeight="1" s="122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</row>
    <row r="837" ht="15.75" customHeight="1" s="122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</row>
    <row r="838" ht="15.75" customHeight="1" s="122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</row>
    <row r="839" ht="15.75" customHeight="1" s="122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</row>
    <row r="840" ht="15.75" customHeight="1" s="122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</row>
    <row r="841" ht="15.75" customHeight="1" s="122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</row>
    <row r="842" ht="15.75" customHeight="1" s="122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</row>
    <row r="843" ht="15.75" customHeight="1" s="122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</row>
    <row r="844" ht="15.75" customHeight="1" s="122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</row>
    <row r="845" ht="15.75" customHeight="1" s="122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</row>
    <row r="846" ht="15.75" customHeight="1" s="122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</row>
    <row r="847" ht="15.75" customHeight="1" s="122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</row>
    <row r="848" ht="15.75" customHeight="1" s="122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</row>
    <row r="849" ht="15.75" customHeight="1" s="122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</row>
    <row r="850" ht="15.75" customHeight="1" s="122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</row>
    <row r="851" ht="15.75" customHeight="1" s="122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</row>
    <row r="852" ht="15.75" customHeight="1" s="122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</row>
    <row r="853" ht="15.75" customHeight="1" s="122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</row>
    <row r="854" ht="15.75" customHeight="1" s="122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</row>
    <row r="855" ht="15.75" customHeight="1" s="122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</row>
    <row r="856" ht="15.75" customHeight="1" s="122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</row>
    <row r="857" ht="15.75" customHeight="1" s="122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</row>
    <row r="858" ht="15.75" customHeight="1" s="122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</row>
    <row r="859" ht="15.75" customHeight="1" s="122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</row>
    <row r="860" ht="15.75" customHeight="1" s="122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</row>
    <row r="861" ht="15.75" customHeight="1" s="122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</row>
    <row r="862" ht="15.75" customHeight="1" s="122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</row>
    <row r="863" ht="15.75" customHeight="1" s="122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</row>
    <row r="864" ht="15.75" customHeight="1" s="122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</row>
    <row r="865" ht="15.75" customHeight="1" s="122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</row>
    <row r="866" ht="15.75" customHeight="1" s="122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</row>
    <row r="867" ht="15.75" customHeight="1" s="122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</row>
    <row r="868" ht="15.75" customHeight="1" s="122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</row>
    <row r="869" ht="15.75" customHeight="1" s="122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</row>
    <row r="870" ht="15.75" customHeight="1" s="122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</row>
    <row r="871" ht="15.75" customHeight="1" s="122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</row>
    <row r="872" ht="15.75" customHeight="1" s="122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</row>
    <row r="873" ht="15.75" customHeight="1" s="122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</row>
    <row r="874" ht="15.75" customHeight="1" s="122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</row>
    <row r="875" ht="15.75" customHeight="1" s="122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</row>
    <row r="876" ht="15.75" customHeight="1" s="122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</row>
    <row r="877" ht="15.75" customHeight="1" s="122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</row>
    <row r="878" ht="15.75" customHeight="1" s="122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</row>
    <row r="879" ht="15.75" customHeight="1" s="122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</row>
    <row r="880" ht="15.75" customHeight="1" s="122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</row>
    <row r="881" ht="15.75" customHeight="1" s="122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</row>
    <row r="882" ht="15.75" customHeight="1" s="122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</row>
    <row r="883" ht="15.75" customHeight="1" s="122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</row>
    <row r="884" ht="15.75" customHeight="1" s="122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</row>
    <row r="885" ht="15.75" customHeight="1" s="122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</row>
    <row r="886" ht="15.75" customHeight="1" s="122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</row>
    <row r="887" ht="15.75" customHeight="1" s="122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</row>
    <row r="888" ht="15.75" customHeight="1" s="122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</row>
    <row r="889" ht="15.75" customHeight="1" s="122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</row>
    <row r="890" ht="15.75" customHeight="1" s="122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</row>
    <row r="891" ht="15.75" customHeight="1" s="122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</row>
    <row r="892" ht="15.75" customHeight="1" s="122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</row>
    <row r="893" ht="15.75" customHeight="1" s="122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</row>
    <row r="894" ht="15.75" customHeight="1" s="122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</row>
    <row r="895" ht="15.75" customHeight="1" s="122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</row>
    <row r="896" ht="15.75" customHeight="1" s="122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</row>
    <row r="897" ht="15.75" customHeight="1" s="122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</row>
    <row r="898" ht="15.75" customHeight="1" s="122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</row>
    <row r="899" ht="15.75" customHeight="1" s="122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</row>
    <row r="900" ht="15.75" customHeight="1" s="122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</row>
    <row r="901" ht="15.75" customHeight="1" s="122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</row>
    <row r="902" ht="15.75" customHeight="1" s="122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</row>
    <row r="903" ht="15.75" customHeight="1" s="122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</row>
    <row r="904" ht="15.75" customHeight="1" s="122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</row>
    <row r="905" ht="15.75" customHeight="1" s="122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</row>
    <row r="906" ht="15.75" customHeight="1" s="122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</row>
    <row r="907" ht="15.75" customHeight="1" s="122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</row>
    <row r="908" ht="15.75" customHeight="1" s="122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</row>
    <row r="909" ht="15.75" customHeight="1" s="122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</row>
    <row r="910" ht="15.75" customHeight="1" s="122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</row>
    <row r="911" ht="15.75" customHeight="1" s="122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</row>
    <row r="912" ht="15.75" customHeight="1" s="122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</row>
    <row r="913" ht="15.75" customHeight="1" s="122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</row>
    <row r="914" ht="15.75" customHeight="1" s="122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</row>
    <row r="915" ht="15.75" customHeight="1" s="122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</row>
    <row r="916" ht="15.75" customHeight="1" s="122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</row>
    <row r="917" ht="15.75" customHeight="1" s="122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</row>
    <row r="918" ht="15.75" customHeight="1" s="122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</row>
    <row r="919" ht="15.75" customHeight="1" s="122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</row>
    <row r="920" ht="15.75" customHeight="1" s="122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</row>
    <row r="921" ht="15.75" customHeight="1" s="122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</row>
    <row r="922" ht="15.75" customHeight="1" s="122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</row>
    <row r="923" ht="15.75" customHeight="1" s="122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</row>
    <row r="924" ht="15.75" customHeight="1" s="122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</row>
    <row r="925" ht="15.75" customHeight="1" s="122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</row>
    <row r="926" ht="15.75" customHeight="1" s="122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</row>
    <row r="927" ht="15.75" customHeight="1" s="122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</row>
    <row r="928" ht="15.75" customHeight="1" s="122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</row>
    <row r="929" ht="15.75" customHeight="1" s="122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</row>
    <row r="930" ht="15.75" customHeight="1" s="122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</row>
    <row r="931" ht="15.75" customHeight="1" s="122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</row>
    <row r="932" ht="15.75" customHeight="1" s="122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</row>
    <row r="933" ht="15.75" customHeight="1" s="122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</row>
    <row r="934" ht="15.75" customHeight="1" s="122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</row>
    <row r="935" ht="15.75" customHeight="1" s="122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</row>
    <row r="936" ht="15.75" customHeight="1" s="122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</row>
    <row r="937" ht="15.75" customHeight="1" s="122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</row>
    <row r="938" ht="15.75" customHeight="1" s="122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</row>
    <row r="939" ht="15.75" customHeight="1" s="122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</row>
    <row r="940" ht="15.75" customHeight="1" s="122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</row>
    <row r="941" ht="15.75" customHeight="1" s="122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</row>
    <row r="942" ht="15.75" customHeight="1" s="122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</row>
    <row r="943" ht="15.75" customHeight="1" s="122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</row>
    <row r="944" ht="15.75" customHeight="1" s="122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</row>
    <row r="945" ht="15.75" customHeight="1" s="122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</row>
    <row r="946" ht="15.75" customHeight="1" s="122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</row>
    <row r="947" ht="15.75" customHeight="1" s="122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</row>
    <row r="948" ht="15.75" customHeight="1" s="122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</row>
    <row r="949" ht="15.75" customHeight="1" s="122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</row>
    <row r="950" ht="15.75" customHeight="1" s="122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</row>
    <row r="951" ht="15.75" customHeight="1" s="122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</row>
    <row r="952" ht="15.75" customHeight="1" s="122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</row>
    <row r="953" ht="15.75" customHeight="1" s="122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</row>
    <row r="954" ht="15.75" customHeight="1" s="122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</row>
    <row r="955" ht="15.75" customHeight="1" s="122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</row>
    <row r="956" ht="15.75" customHeight="1" s="122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</row>
    <row r="957" ht="15.75" customHeight="1" s="122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</row>
    <row r="958" ht="15.75" customHeight="1" s="122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</row>
    <row r="959" ht="15.75" customHeight="1" s="122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</row>
    <row r="960" ht="15.75" customHeight="1" s="122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</row>
    <row r="961" ht="15.75" customHeight="1" s="122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</row>
    <row r="962" ht="15.75" customHeight="1" s="122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</row>
    <row r="963" ht="15.75" customHeight="1" s="122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</row>
    <row r="964" ht="15.75" customHeight="1" s="122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</row>
    <row r="965" ht="15.75" customHeight="1" s="122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</row>
    <row r="966" ht="15.75" customHeight="1" s="122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</row>
    <row r="967" ht="15.75" customHeight="1" s="122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</row>
    <row r="968" ht="15.75" customHeight="1" s="122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</row>
    <row r="969" ht="15.75" customHeight="1" s="122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</row>
    <row r="970" ht="15.75" customHeight="1" s="122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</row>
    <row r="971" ht="15.75" customHeight="1" s="122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</row>
    <row r="972" ht="15.75" customHeight="1" s="122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</row>
    <row r="973" ht="15.75" customHeight="1" s="122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</row>
    <row r="974" ht="15.75" customHeight="1" s="122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</row>
    <row r="975" ht="15.75" customHeight="1" s="122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</row>
    <row r="976" ht="15.75" customHeight="1" s="122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</row>
    <row r="977" ht="15.75" customHeight="1" s="122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</row>
    <row r="978" ht="15.75" customHeight="1" s="122">
      <c r="A978" s="121" t="n"/>
      <c r="B978" s="121" t="n"/>
      <c r="C978" s="121" t="n"/>
      <c r="D978" s="121" t="n"/>
      <c r="E978" s="121" t="n"/>
      <c r="F978" s="121" t="n"/>
      <c r="G978" s="121" t="n"/>
      <c r="H978" s="121" t="n"/>
      <c r="I978" s="121" t="n"/>
      <c r="J978" s="121" t="n"/>
      <c r="K978" s="121" t="n"/>
      <c r="L978" s="121" t="n"/>
      <c r="M978" s="121" t="n"/>
      <c r="N978" s="121" t="n"/>
      <c r="O978" s="121" t="n"/>
      <c r="P978" s="121" t="n"/>
      <c r="Q978" s="121" t="n"/>
      <c r="R978" s="121" t="n"/>
      <c r="S978" s="121" t="n"/>
      <c r="T978" s="121" t="n"/>
      <c r="U978" s="121" t="n"/>
      <c r="V978" s="121" t="n"/>
      <c r="W978" s="121" t="n"/>
      <c r="X978" s="121" t="n"/>
      <c r="Y978" s="121" t="n"/>
      <c r="Z978" s="121" t="n"/>
    </row>
    <row r="979" ht="15.75" customHeight="1" s="122">
      <c r="A979" s="121" t="n"/>
      <c r="B979" s="121" t="n"/>
      <c r="C979" s="121" t="n"/>
      <c r="D979" s="121" t="n"/>
      <c r="E979" s="121" t="n"/>
      <c r="F979" s="121" t="n"/>
      <c r="G979" s="121" t="n"/>
      <c r="H979" s="121" t="n"/>
      <c r="I979" s="121" t="n"/>
      <c r="J979" s="121" t="n"/>
      <c r="K979" s="121" t="n"/>
      <c r="L979" s="121" t="n"/>
      <c r="M979" s="121" t="n"/>
      <c r="N979" s="121" t="n"/>
      <c r="O979" s="121" t="n"/>
      <c r="P979" s="121" t="n"/>
      <c r="Q979" s="121" t="n"/>
      <c r="R979" s="121" t="n"/>
      <c r="S979" s="121" t="n"/>
      <c r="T979" s="121" t="n"/>
      <c r="U979" s="121" t="n"/>
      <c r="V979" s="121" t="n"/>
      <c r="W979" s="121" t="n"/>
      <c r="X979" s="121" t="n"/>
      <c r="Y979" s="121" t="n"/>
      <c r="Z979" s="121" t="n"/>
    </row>
    <row r="980" ht="15.75" customHeight="1" s="122">
      <c r="A980" s="121" t="n"/>
      <c r="B980" s="121" t="n"/>
      <c r="C980" s="121" t="n"/>
      <c r="D980" s="121" t="n"/>
      <c r="E980" s="121" t="n"/>
      <c r="F980" s="121" t="n"/>
      <c r="G980" s="121" t="n"/>
      <c r="H980" s="121" t="n"/>
      <c r="I980" s="121" t="n"/>
      <c r="J980" s="121" t="n"/>
      <c r="K980" s="121" t="n"/>
      <c r="L980" s="121" t="n"/>
      <c r="M980" s="121" t="n"/>
      <c r="N980" s="121" t="n"/>
      <c r="O980" s="121" t="n"/>
      <c r="P980" s="121" t="n"/>
      <c r="Q980" s="121" t="n"/>
      <c r="R980" s="121" t="n"/>
      <c r="S980" s="121" t="n"/>
      <c r="T980" s="121" t="n"/>
      <c r="U980" s="121" t="n"/>
      <c r="V980" s="121" t="n"/>
      <c r="W980" s="121" t="n"/>
      <c r="X980" s="121" t="n"/>
      <c r="Y980" s="121" t="n"/>
      <c r="Z980" s="121" t="n"/>
    </row>
    <row r="981" ht="15.75" customHeight="1" s="122">
      <c r="A981" s="121" t="n"/>
      <c r="B981" s="121" t="n"/>
      <c r="C981" s="121" t="n"/>
      <c r="D981" s="121" t="n"/>
      <c r="E981" s="121" t="n"/>
      <c r="F981" s="121" t="n"/>
      <c r="G981" s="121" t="n"/>
      <c r="H981" s="121" t="n"/>
      <c r="I981" s="121" t="n"/>
      <c r="J981" s="121" t="n"/>
      <c r="K981" s="121" t="n"/>
      <c r="L981" s="121" t="n"/>
      <c r="M981" s="121" t="n"/>
      <c r="N981" s="121" t="n"/>
      <c r="O981" s="121" t="n"/>
      <c r="P981" s="121" t="n"/>
      <c r="Q981" s="121" t="n"/>
      <c r="R981" s="121" t="n"/>
      <c r="S981" s="121" t="n"/>
      <c r="T981" s="121" t="n"/>
      <c r="U981" s="121" t="n"/>
      <c r="V981" s="121" t="n"/>
      <c r="W981" s="121" t="n"/>
      <c r="X981" s="121" t="n"/>
      <c r="Y981" s="121" t="n"/>
      <c r="Z981" s="121" t="n"/>
    </row>
    <row r="982" ht="15.75" customHeight="1" s="122">
      <c r="A982" s="121" t="n"/>
      <c r="B982" s="121" t="n"/>
      <c r="C982" s="121" t="n"/>
      <c r="D982" s="121" t="n"/>
      <c r="E982" s="121" t="n"/>
      <c r="F982" s="121" t="n"/>
      <c r="G982" s="121" t="n"/>
      <c r="H982" s="121" t="n"/>
      <c r="I982" s="121" t="n"/>
      <c r="J982" s="121" t="n"/>
      <c r="K982" s="121" t="n"/>
      <c r="L982" s="121" t="n"/>
      <c r="M982" s="121" t="n"/>
      <c r="N982" s="121" t="n"/>
      <c r="O982" s="121" t="n"/>
      <c r="P982" s="121" t="n"/>
      <c r="Q982" s="121" t="n"/>
      <c r="R982" s="121" t="n"/>
      <c r="S982" s="121" t="n"/>
      <c r="T982" s="121" t="n"/>
      <c r="U982" s="121" t="n"/>
      <c r="V982" s="121" t="n"/>
      <c r="W982" s="121" t="n"/>
      <c r="X982" s="121" t="n"/>
      <c r="Y982" s="121" t="n"/>
      <c r="Z982" s="121" t="n"/>
    </row>
    <row r="983" ht="15.75" customHeight="1" s="122">
      <c r="A983" s="121" t="n"/>
      <c r="B983" s="121" t="n"/>
      <c r="C983" s="121" t="n"/>
      <c r="D983" s="121" t="n"/>
      <c r="E983" s="121" t="n"/>
      <c r="F983" s="121" t="n"/>
      <c r="G983" s="121" t="n"/>
      <c r="H983" s="121" t="n"/>
      <c r="I983" s="121" t="n"/>
      <c r="J983" s="121" t="n"/>
      <c r="K983" s="121" t="n"/>
      <c r="L983" s="121" t="n"/>
      <c r="M983" s="121" t="n"/>
      <c r="N983" s="121" t="n"/>
      <c r="O983" s="121" t="n"/>
      <c r="P983" s="121" t="n"/>
      <c r="Q983" s="121" t="n"/>
      <c r="R983" s="121" t="n"/>
      <c r="S983" s="121" t="n"/>
      <c r="T983" s="121" t="n"/>
      <c r="U983" s="121" t="n"/>
      <c r="V983" s="121" t="n"/>
      <c r="W983" s="121" t="n"/>
      <c r="X983" s="121" t="n"/>
      <c r="Y983" s="121" t="n"/>
      <c r="Z983" s="121" t="n"/>
    </row>
    <row r="984" ht="15.75" customHeight="1" s="122">
      <c r="A984" s="121" t="n"/>
      <c r="B984" s="121" t="n"/>
      <c r="C984" s="121" t="n"/>
      <c r="D984" s="121" t="n"/>
      <c r="E984" s="121" t="n"/>
      <c r="F984" s="121" t="n"/>
      <c r="G984" s="121" t="n"/>
      <c r="H984" s="121" t="n"/>
      <c r="I984" s="121" t="n"/>
      <c r="J984" s="121" t="n"/>
      <c r="K984" s="121" t="n"/>
      <c r="L984" s="121" t="n"/>
      <c r="M984" s="121" t="n"/>
      <c r="N984" s="121" t="n"/>
      <c r="O984" s="121" t="n"/>
      <c r="P984" s="121" t="n"/>
      <c r="Q984" s="121" t="n"/>
      <c r="R984" s="121" t="n"/>
      <c r="S984" s="121" t="n"/>
      <c r="T984" s="121" t="n"/>
      <c r="U984" s="121" t="n"/>
      <c r="V984" s="121" t="n"/>
      <c r="W984" s="121" t="n"/>
      <c r="X984" s="121" t="n"/>
      <c r="Y984" s="121" t="n"/>
      <c r="Z984" s="121" t="n"/>
    </row>
    <row r="985" ht="15.75" customHeight="1" s="122">
      <c r="A985" s="121" t="n"/>
      <c r="B985" s="121" t="n"/>
      <c r="C985" s="121" t="n"/>
      <c r="D985" s="121" t="n"/>
      <c r="E985" s="121" t="n"/>
      <c r="F985" s="121" t="n"/>
      <c r="G985" s="121" t="n"/>
      <c r="H985" s="121" t="n"/>
      <c r="I985" s="121" t="n"/>
      <c r="J985" s="121" t="n"/>
      <c r="K985" s="121" t="n"/>
      <c r="L985" s="121" t="n"/>
      <c r="M985" s="121" t="n"/>
      <c r="N985" s="121" t="n"/>
      <c r="O985" s="121" t="n"/>
      <c r="P985" s="121" t="n"/>
      <c r="Q985" s="121" t="n"/>
      <c r="R985" s="121" t="n"/>
      <c r="S985" s="121" t="n"/>
      <c r="T985" s="121" t="n"/>
      <c r="U985" s="121" t="n"/>
      <c r="V985" s="121" t="n"/>
      <c r="W985" s="121" t="n"/>
      <c r="X985" s="121" t="n"/>
      <c r="Y985" s="121" t="n"/>
      <c r="Z985" s="121" t="n"/>
    </row>
    <row r="986" ht="15.75" customHeight="1" s="122">
      <c r="A986" s="121" t="n"/>
      <c r="B986" s="121" t="n"/>
      <c r="C986" s="121" t="n"/>
      <c r="D986" s="121" t="n"/>
      <c r="E986" s="121" t="n"/>
      <c r="F986" s="121" t="n"/>
      <c r="G986" s="121" t="n"/>
      <c r="H986" s="121" t="n"/>
      <c r="I986" s="121" t="n"/>
      <c r="J986" s="121" t="n"/>
      <c r="K986" s="121" t="n"/>
      <c r="L986" s="121" t="n"/>
      <c r="M986" s="121" t="n"/>
      <c r="N986" s="121" t="n"/>
      <c r="O986" s="121" t="n"/>
      <c r="P986" s="121" t="n"/>
      <c r="Q986" s="121" t="n"/>
      <c r="R986" s="121" t="n"/>
      <c r="S986" s="121" t="n"/>
      <c r="T986" s="121" t="n"/>
      <c r="U986" s="121" t="n"/>
      <c r="V986" s="121" t="n"/>
      <c r="W986" s="121" t="n"/>
      <c r="X986" s="121" t="n"/>
      <c r="Y986" s="121" t="n"/>
      <c r="Z986" s="121" t="n"/>
    </row>
    <row r="987" ht="15.75" customHeight="1" s="122">
      <c r="A987" s="121" t="n"/>
      <c r="B987" s="121" t="n"/>
      <c r="C987" s="121" t="n"/>
      <c r="D987" s="121" t="n"/>
      <c r="E987" s="121" t="n"/>
      <c r="F987" s="121" t="n"/>
      <c r="G987" s="121" t="n"/>
      <c r="H987" s="121" t="n"/>
      <c r="I987" s="121" t="n"/>
      <c r="J987" s="121" t="n"/>
      <c r="K987" s="121" t="n"/>
      <c r="L987" s="121" t="n"/>
      <c r="M987" s="121" t="n"/>
      <c r="N987" s="121" t="n"/>
      <c r="O987" s="121" t="n"/>
      <c r="P987" s="121" t="n"/>
      <c r="Q987" s="121" t="n"/>
      <c r="R987" s="121" t="n"/>
      <c r="S987" s="121" t="n"/>
      <c r="T987" s="121" t="n"/>
      <c r="U987" s="121" t="n"/>
      <c r="V987" s="121" t="n"/>
      <c r="W987" s="121" t="n"/>
      <c r="X987" s="121" t="n"/>
      <c r="Y987" s="121" t="n"/>
      <c r="Z987" s="121" t="n"/>
    </row>
    <row r="988" ht="15.75" customHeight="1" s="122">
      <c r="A988" s="121" t="n"/>
      <c r="B988" s="121" t="n"/>
      <c r="C988" s="121" t="n"/>
      <c r="D988" s="121" t="n"/>
      <c r="E988" s="121" t="n"/>
      <c r="F988" s="121" t="n"/>
      <c r="G988" s="121" t="n"/>
      <c r="H988" s="121" t="n"/>
      <c r="I988" s="121" t="n"/>
      <c r="J988" s="121" t="n"/>
      <c r="K988" s="121" t="n"/>
      <c r="L988" s="121" t="n"/>
      <c r="M988" s="121" t="n"/>
      <c r="N988" s="121" t="n"/>
      <c r="O988" s="121" t="n"/>
      <c r="P988" s="121" t="n"/>
      <c r="Q988" s="121" t="n"/>
      <c r="R988" s="121" t="n"/>
      <c r="S988" s="121" t="n"/>
      <c r="T988" s="121" t="n"/>
      <c r="U988" s="121" t="n"/>
      <c r="V988" s="121" t="n"/>
      <c r="W988" s="121" t="n"/>
      <c r="X988" s="121" t="n"/>
      <c r="Y988" s="121" t="n"/>
      <c r="Z988" s="121" t="n"/>
    </row>
    <row r="989" ht="15.75" customHeight="1" s="122">
      <c r="A989" s="121" t="n"/>
      <c r="B989" s="121" t="n"/>
      <c r="C989" s="121" t="n"/>
      <c r="D989" s="121" t="n"/>
      <c r="E989" s="121" t="n"/>
      <c r="F989" s="121" t="n"/>
      <c r="G989" s="121" t="n"/>
      <c r="H989" s="121" t="n"/>
      <c r="I989" s="121" t="n"/>
      <c r="J989" s="121" t="n"/>
      <c r="K989" s="121" t="n"/>
      <c r="L989" s="121" t="n"/>
      <c r="M989" s="121" t="n"/>
      <c r="N989" s="121" t="n"/>
      <c r="O989" s="121" t="n"/>
      <c r="P989" s="121" t="n"/>
      <c r="Q989" s="121" t="n"/>
      <c r="R989" s="121" t="n"/>
      <c r="S989" s="121" t="n"/>
      <c r="T989" s="121" t="n"/>
      <c r="U989" s="121" t="n"/>
      <c r="V989" s="121" t="n"/>
      <c r="W989" s="121" t="n"/>
      <c r="X989" s="121" t="n"/>
      <c r="Y989" s="121" t="n"/>
      <c r="Z989" s="121" t="n"/>
    </row>
    <row r="990" ht="15.75" customHeight="1" s="122">
      <c r="A990" s="121" t="n"/>
      <c r="B990" s="121" t="n"/>
      <c r="C990" s="121" t="n"/>
      <c r="D990" s="121" t="n"/>
      <c r="E990" s="121" t="n"/>
      <c r="F990" s="121" t="n"/>
      <c r="G990" s="121" t="n"/>
      <c r="H990" s="121" t="n"/>
      <c r="I990" s="121" t="n"/>
      <c r="J990" s="121" t="n"/>
      <c r="K990" s="121" t="n"/>
      <c r="L990" s="121" t="n"/>
      <c r="M990" s="121" t="n"/>
      <c r="N990" s="121" t="n"/>
      <c r="O990" s="121" t="n"/>
      <c r="P990" s="121" t="n"/>
      <c r="Q990" s="121" t="n"/>
      <c r="R990" s="121" t="n"/>
      <c r="S990" s="121" t="n"/>
      <c r="T990" s="121" t="n"/>
      <c r="U990" s="121" t="n"/>
      <c r="V990" s="121" t="n"/>
      <c r="W990" s="121" t="n"/>
      <c r="X990" s="121" t="n"/>
      <c r="Y990" s="121" t="n"/>
      <c r="Z990" s="121" t="n"/>
    </row>
    <row r="991" ht="15.75" customHeight="1" s="122">
      <c r="A991" s="121" t="n"/>
      <c r="B991" s="121" t="n"/>
      <c r="C991" s="121" t="n"/>
      <c r="D991" s="121" t="n"/>
      <c r="E991" s="121" t="n"/>
      <c r="F991" s="121" t="n"/>
      <c r="G991" s="121" t="n"/>
      <c r="H991" s="121" t="n"/>
      <c r="I991" s="121" t="n"/>
      <c r="J991" s="121" t="n"/>
      <c r="K991" s="121" t="n"/>
      <c r="L991" s="121" t="n"/>
      <c r="M991" s="121" t="n"/>
      <c r="N991" s="121" t="n"/>
      <c r="O991" s="121" t="n"/>
      <c r="P991" s="121" t="n"/>
      <c r="Q991" s="121" t="n"/>
      <c r="R991" s="121" t="n"/>
      <c r="S991" s="121" t="n"/>
      <c r="T991" s="121" t="n"/>
      <c r="U991" s="121" t="n"/>
      <c r="V991" s="121" t="n"/>
      <c r="W991" s="121" t="n"/>
      <c r="X991" s="121" t="n"/>
      <c r="Y991" s="121" t="n"/>
      <c r="Z991" s="121" t="n"/>
    </row>
    <row r="992" ht="15.75" customHeight="1" s="122">
      <c r="A992" s="121" t="n"/>
      <c r="B992" s="121" t="n"/>
      <c r="C992" s="121" t="n"/>
      <c r="D992" s="121" t="n"/>
      <c r="E992" s="121" t="n"/>
      <c r="F992" s="121" t="n"/>
      <c r="G992" s="121" t="n"/>
      <c r="H992" s="121" t="n"/>
      <c r="I992" s="121" t="n"/>
      <c r="J992" s="121" t="n"/>
      <c r="K992" s="121" t="n"/>
      <c r="L992" s="121" t="n"/>
      <c r="M992" s="121" t="n"/>
      <c r="N992" s="121" t="n"/>
      <c r="O992" s="121" t="n"/>
      <c r="P992" s="121" t="n"/>
      <c r="Q992" s="121" t="n"/>
      <c r="R992" s="121" t="n"/>
      <c r="S992" s="121" t="n"/>
      <c r="T992" s="121" t="n"/>
      <c r="U992" s="121" t="n"/>
      <c r="V992" s="121" t="n"/>
      <c r="W992" s="121" t="n"/>
      <c r="X992" s="121" t="n"/>
      <c r="Y992" s="121" t="n"/>
      <c r="Z992" s="121" t="n"/>
    </row>
    <row r="993" ht="15.75" customHeight="1" s="122">
      <c r="A993" s="121" t="n"/>
      <c r="B993" s="121" t="n"/>
      <c r="C993" s="121" t="n"/>
      <c r="D993" s="121" t="n"/>
      <c r="E993" s="121" t="n"/>
      <c r="F993" s="121" t="n"/>
      <c r="G993" s="121" t="n"/>
      <c r="H993" s="121" t="n"/>
      <c r="I993" s="121" t="n"/>
      <c r="J993" s="121" t="n"/>
      <c r="K993" s="121" t="n"/>
      <c r="L993" s="121" t="n"/>
      <c r="M993" s="121" t="n"/>
      <c r="N993" s="121" t="n"/>
      <c r="O993" s="121" t="n"/>
      <c r="P993" s="121" t="n"/>
      <c r="Q993" s="121" t="n"/>
      <c r="R993" s="121" t="n"/>
      <c r="S993" s="121" t="n"/>
      <c r="T993" s="121" t="n"/>
      <c r="U993" s="121" t="n"/>
      <c r="V993" s="121" t="n"/>
      <c r="W993" s="121" t="n"/>
      <c r="X993" s="121" t="n"/>
      <c r="Y993" s="121" t="n"/>
      <c r="Z993" s="121" t="n"/>
    </row>
    <row r="994" ht="15.75" customHeight="1" s="122">
      <c r="A994" s="121" t="n"/>
      <c r="B994" s="121" t="n"/>
      <c r="C994" s="121" t="n"/>
      <c r="D994" s="121" t="n"/>
      <c r="E994" s="121" t="n"/>
      <c r="F994" s="121" t="n"/>
      <c r="G994" s="121" t="n"/>
      <c r="H994" s="121" t="n"/>
      <c r="I994" s="121" t="n"/>
      <c r="J994" s="121" t="n"/>
      <c r="K994" s="121" t="n"/>
      <c r="L994" s="121" t="n"/>
      <c r="M994" s="121" t="n"/>
      <c r="N994" s="121" t="n"/>
      <c r="O994" s="121" t="n"/>
      <c r="P994" s="121" t="n"/>
      <c r="Q994" s="121" t="n"/>
      <c r="R994" s="121" t="n"/>
      <c r="S994" s="121" t="n"/>
      <c r="T994" s="121" t="n"/>
      <c r="U994" s="121" t="n"/>
      <c r="V994" s="121" t="n"/>
      <c r="W994" s="121" t="n"/>
      <c r="X994" s="121" t="n"/>
      <c r="Y994" s="121" t="n"/>
      <c r="Z994" s="121" t="n"/>
    </row>
    <row r="995" ht="15.75" customHeight="1" s="122">
      <c r="A995" s="121" t="n"/>
      <c r="B995" s="121" t="n"/>
      <c r="C995" s="121" t="n"/>
      <c r="D995" s="121" t="n"/>
      <c r="E995" s="121" t="n"/>
      <c r="F995" s="121" t="n"/>
      <c r="G995" s="121" t="n"/>
      <c r="H995" s="121" t="n"/>
      <c r="I995" s="121" t="n"/>
      <c r="J995" s="121" t="n"/>
      <c r="K995" s="121" t="n"/>
      <c r="L995" s="121" t="n"/>
      <c r="M995" s="121" t="n"/>
      <c r="N995" s="121" t="n"/>
      <c r="O995" s="121" t="n"/>
      <c r="P995" s="121" t="n"/>
      <c r="Q995" s="121" t="n"/>
      <c r="R995" s="121" t="n"/>
      <c r="S995" s="121" t="n"/>
      <c r="T995" s="121" t="n"/>
      <c r="U995" s="121" t="n"/>
      <c r="V995" s="121" t="n"/>
      <c r="W995" s="121" t="n"/>
      <c r="X995" s="121" t="n"/>
      <c r="Y995" s="121" t="n"/>
      <c r="Z995" s="121" t="n"/>
    </row>
    <row r="996" ht="15.75" customHeight="1" s="122">
      <c r="A996" s="121" t="n"/>
      <c r="B996" s="121" t="n"/>
      <c r="C996" s="121" t="n"/>
      <c r="D996" s="121" t="n"/>
      <c r="E996" s="121" t="n"/>
      <c r="F996" s="121" t="n"/>
      <c r="G996" s="121" t="n"/>
      <c r="H996" s="121" t="n"/>
      <c r="I996" s="121" t="n"/>
      <c r="J996" s="121" t="n"/>
      <c r="K996" s="121" t="n"/>
      <c r="L996" s="121" t="n"/>
      <c r="M996" s="121" t="n"/>
      <c r="N996" s="121" t="n"/>
      <c r="O996" s="121" t="n"/>
      <c r="P996" s="121" t="n"/>
      <c r="Q996" s="121" t="n"/>
      <c r="R996" s="121" t="n"/>
      <c r="S996" s="121" t="n"/>
      <c r="T996" s="121" t="n"/>
      <c r="U996" s="121" t="n"/>
      <c r="V996" s="121" t="n"/>
      <c r="W996" s="121" t="n"/>
      <c r="X996" s="121" t="n"/>
      <c r="Y996" s="121" t="n"/>
      <c r="Z996" s="121" t="n"/>
    </row>
    <row r="997" ht="15.75" customHeight="1" s="122">
      <c r="A997" s="121" t="n"/>
      <c r="B997" s="121" t="n"/>
      <c r="C997" s="121" t="n"/>
      <c r="D997" s="121" t="n"/>
      <c r="E997" s="121" t="n"/>
      <c r="F997" s="121" t="n"/>
      <c r="G997" s="121" t="n"/>
      <c r="H997" s="121" t="n"/>
      <c r="I997" s="121" t="n"/>
      <c r="J997" s="121" t="n"/>
      <c r="K997" s="121" t="n"/>
      <c r="L997" s="121" t="n"/>
      <c r="M997" s="121" t="n"/>
      <c r="N997" s="121" t="n"/>
      <c r="O997" s="121" t="n"/>
      <c r="P997" s="121" t="n"/>
      <c r="Q997" s="121" t="n"/>
      <c r="R997" s="121" t="n"/>
      <c r="S997" s="121" t="n"/>
      <c r="T997" s="121" t="n"/>
      <c r="U997" s="121" t="n"/>
      <c r="V997" s="121" t="n"/>
      <c r="W997" s="121" t="n"/>
      <c r="X997" s="121" t="n"/>
      <c r="Y997" s="121" t="n"/>
      <c r="Z997" s="121" t="n"/>
    </row>
    <row r="998" ht="15.75" customHeight="1" s="122">
      <c r="A998" s="121" t="n"/>
      <c r="B998" s="121" t="n"/>
      <c r="C998" s="121" t="n"/>
      <c r="D998" s="121" t="n"/>
      <c r="E998" s="121" t="n"/>
      <c r="F998" s="121" t="n"/>
      <c r="G998" s="121" t="n"/>
      <c r="H998" s="121" t="n"/>
      <c r="I998" s="121" t="n"/>
      <c r="J998" s="121" t="n"/>
      <c r="K998" s="121" t="n"/>
      <c r="L998" s="121" t="n"/>
      <c r="M998" s="121" t="n"/>
      <c r="N998" s="121" t="n"/>
      <c r="O998" s="121" t="n"/>
      <c r="P998" s="121" t="n"/>
      <c r="Q998" s="121" t="n"/>
      <c r="R998" s="121" t="n"/>
      <c r="S998" s="121" t="n"/>
      <c r="T998" s="121" t="n"/>
      <c r="U998" s="121" t="n"/>
      <c r="V998" s="121" t="n"/>
      <c r="W998" s="121" t="n"/>
      <c r="X998" s="121" t="n"/>
      <c r="Y998" s="121" t="n"/>
      <c r="Z998" s="121" t="n"/>
    </row>
    <row r="999" ht="15.75" customHeight="1" s="122">
      <c r="A999" s="121" t="n"/>
      <c r="B999" s="121" t="n"/>
      <c r="C999" s="121" t="n"/>
      <c r="D999" s="121" t="n"/>
      <c r="E999" s="121" t="n"/>
      <c r="F999" s="121" t="n"/>
      <c r="G999" s="121" t="n"/>
      <c r="H999" s="121" t="n"/>
      <c r="I999" s="121" t="n"/>
      <c r="J999" s="121" t="n"/>
      <c r="K999" s="121" t="n"/>
      <c r="L999" s="121" t="n"/>
      <c r="M999" s="121" t="n"/>
      <c r="N999" s="121" t="n"/>
      <c r="O999" s="121" t="n"/>
      <c r="P999" s="121" t="n"/>
      <c r="Q999" s="121" t="n"/>
      <c r="R999" s="121" t="n"/>
      <c r="S999" s="121" t="n"/>
      <c r="T999" s="121" t="n"/>
      <c r="U999" s="121" t="n"/>
      <c r="V999" s="121" t="n"/>
      <c r="W999" s="121" t="n"/>
      <c r="X999" s="121" t="n"/>
      <c r="Y999" s="121" t="n"/>
      <c r="Z999" s="121" t="n"/>
    </row>
    <row r="1000" ht="15.75" customHeight="1" s="122">
      <c r="A1000" s="121" t="n"/>
      <c r="B1000" s="121" t="n"/>
      <c r="C1000" s="121" t="n"/>
      <c r="D1000" s="121" t="n"/>
      <c r="E1000" s="121" t="n"/>
      <c r="F1000" s="121" t="n"/>
      <c r="G1000" s="121" t="n"/>
      <c r="H1000" s="121" t="n"/>
      <c r="I1000" s="121" t="n"/>
      <c r="J1000" s="121" t="n"/>
      <c r="K1000" s="121" t="n"/>
      <c r="L1000" s="121" t="n"/>
      <c r="M1000" s="121" t="n"/>
      <c r="N1000" s="121" t="n"/>
      <c r="O1000" s="121" t="n"/>
      <c r="P1000" s="121" t="n"/>
      <c r="Q1000" s="121" t="n"/>
      <c r="R1000" s="121" t="n"/>
      <c r="S1000" s="121" t="n"/>
      <c r="T1000" s="121" t="n"/>
      <c r="U1000" s="121" t="n"/>
      <c r="V1000" s="121" t="n"/>
      <c r="W1000" s="121" t="n"/>
      <c r="X1000" s="121" t="n"/>
      <c r="Y1000" s="121" t="n"/>
      <c r="Z1000" s="121" t="n"/>
    </row>
  </sheetData>
  <mergeCells count="8">
    <mergeCell ref="B1:O1"/>
    <mergeCell ref="B4:O4"/>
    <mergeCell ref="B25:C25"/>
    <mergeCell ref="E25:F25"/>
    <mergeCell ref="B24:O24"/>
    <mergeCell ref="B2:O2"/>
    <mergeCell ref="B21:D21"/>
    <mergeCell ref="Q4:R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B2D8B"/>
    <outlinePr summaryBelow="1" summaryRight="1"/>
    <pageSetUpPr fitToPage="0"/>
  </sheetPr>
  <dimension ref="A1:K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21" min="1" max="1"/>
    <col width="35" customWidth="1" style="121" min="2" max="2"/>
    <col width="10" customWidth="1" style="121" min="3" max="3"/>
    <col width="45" customWidth="1" style="121" min="4" max="4"/>
    <col width="14" customWidth="1" style="121" min="5" max="5"/>
    <col width="18" customWidth="1" style="121" min="6" max="6"/>
    <col width="14" customWidth="1" style="121" min="7" max="7"/>
    <col width="35" customWidth="1" style="121" min="8" max="8"/>
    <col width="16" customWidth="1" style="121" min="9" max="10"/>
    <col width="12" customWidth="1" style="121" min="11" max="11"/>
  </cols>
  <sheetData>
    <row r="1" ht="36" customHeight="1" s="122">
      <c r="A1" s="224" t="inlineStr">
        <is>
          <t>📋  TRACKER TARGET KUALITATIF</t>
        </is>
      </c>
    </row>
    <row r="2" ht="27.75" customHeight="1" s="122">
      <c r="A2" s="225" t="inlineStr">
        <is>
          <t>Target berbasis milestone/deskripsi (non-angka). Isi kolom biru secara manual. Tipe program diatur di sheet MASTER DATA kolom L.</t>
        </is>
      </c>
    </row>
    <row r="4" ht="24" customHeight="1" s="122">
      <c r="A4" s="226" t="inlineStr">
        <is>
          <t>🎯  DAFTAR TARGET KUALITATIF PER PROGRAM</t>
        </is>
      </c>
    </row>
    <row r="5" ht="36" customHeight="1" s="122">
      <c r="A5" s="227" t="inlineStr">
        <is>
          <t>No</t>
        </is>
      </c>
      <c r="B5" s="227" t="inlineStr">
        <is>
          <t>Program</t>
        </is>
      </c>
      <c r="C5" s="227" t="inlineStr">
        <is>
          <t>PIC</t>
        </is>
      </c>
      <c r="D5" s="227" t="inlineStr">
        <is>
          <t>Target Kualitatif
(Deskripsi)</t>
        </is>
      </c>
      <c r="E5" s="227" t="inlineStr">
        <is>
          <t>Deadline
(Opsional)</t>
        </is>
      </c>
      <c r="F5" s="227" t="inlineStr">
        <is>
          <t>Status Terkini
(Input Manual)</t>
        </is>
      </c>
      <c r="G5" s="227" t="inlineStr">
        <is>
          <t>Tgl Update
Terakhir</t>
        </is>
      </c>
      <c r="H5" s="227" t="inlineStr">
        <is>
          <t>Keterangan /
Catatan</t>
        </is>
      </c>
      <c r="I5" s="227" t="inlineStr">
        <is>
          <t>Target Rp
(jika ada)</t>
        </is>
      </c>
      <c r="J5" s="227" t="inlineStr">
        <is>
          <t>Capaian Rp
(auto)</t>
        </is>
      </c>
      <c r="K5" s="227" t="inlineStr">
        <is>
          <t>% Capaian Rp</t>
        </is>
      </c>
    </row>
    <row r="6" ht="24" customHeight="1" s="122">
      <c r="A6" s="228">
        <f>'MASTER DATA'!B5</f>
        <v/>
      </c>
      <c r="B6" s="229">
        <f>'MASTER DATA'!C5</f>
        <v/>
      </c>
      <c r="C6" s="228">
        <f>'MASTER DATA'!D5</f>
        <v/>
      </c>
      <c r="D6" s="230">
        <f>'MASTER DATA'!M5</f>
        <v/>
      </c>
      <c r="E6" s="231" t="n"/>
      <c r="F6" s="232" t="inlineStr">
        <is>
          <t>Belum</t>
        </is>
      </c>
      <c r="G6" s="231" t="n"/>
      <c r="H6" s="142" t="n"/>
      <c r="I6" s="233">
        <f>IFERROR(IF('MASTER DATA'!L5="Kualitatif",'MASTER DATA'!E5,""),"")</f>
        <v/>
      </c>
      <c r="J6" s="233">
        <f>IFERROR(IF(B6="","",SUMIF('INPUT HARIAN'!D4:D503,B6,'INPUT HARIAN'!F4:F503)),"")</f>
        <v/>
      </c>
      <c r="K6" s="234">
        <f>IFERROR(IF(OR(I6="",I6=0),"",J6/I6),"")</f>
        <v/>
      </c>
    </row>
    <row r="7" ht="24" customHeight="1" s="122">
      <c r="A7" s="235">
        <f>'MASTER DATA'!B6</f>
        <v/>
      </c>
      <c r="B7" s="236">
        <f>'MASTER DATA'!C6</f>
        <v/>
      </c>
      <c r="C7" s="235">
        <f>'MASTER DATA'!D6</f>
        <v/>
      </c>
      <c r="D7" s="230">
        <f>'MASTER DATA'!M6</f>
        <v/>
      </c>
      <c r="E7" s="231" t="n"/>
      <c r="F7" s="232" t="inlineStr">
        <is>
          <t>Belum</t>
        </is>
      </c>
      <c r="G7" s="231" t="n"/>
      <c r="H7" s="142" t="n"/>
      <c r="I7" s="233">
        <f>IFERROR(IF('MASTER DATA'!L6="Kualitatif",'MASTER DATA'!E6,""),"")</f>
        <v/>
      </c>
      <c r="J7" s="233">
        <f>IFERROR(IF(B7="","",SUMIF('INPUT HARIAN'!D4:D503,B7,'INPUT HARIAN'!F4:F503)),"")</f>
        <v/>
      </c>
      <c r="K7" s="234">
        <f>IFERROR(IF(OR(I7="",I7=0),"",J7/I7),"")</f>
        <v/>
      </c>
    </row>
    <row r="8" ht="24" customHeight="1" s="122">
      <c r="A8" s="228">
        <f>'MASTER DATA'!B7</f>
        <v/>
      </c>
      <c r="B8" s="229">
        <f>'MASTER DATA'!C7</f>
        <v/>
      </c>
      <c r="C8" s="228">
        <f>'MASTER DATA'!D7</f>
        <v/>
      </c>
      <c r="D8" s="230">
        <f>'MASTER DATA'!M7</f>
        <v/>
      </c>
      <c r="E8" s="231" t="n"/>
      <c r="F8" s="232" t="inlineStr">
        <is>
          <t>Belum</t>
        </is>
      </c>
      <c r="G8" s="231" t="n"/>
      <c r="H8" s="142" t="n"/>
      <c r="I8" s="233">
        <f>IFERROR(IF('MASTER DATA'!L7="Kualitatif",'MASTER DATA'!E7,""),"")</f>
        <v/>
      </c>
      <c r="J8" s="233">
        <f>IFERROR(IF(B8="","",SUMIF('INPUT HARIAN'!D4:D503,B8,'INPUT HARIAN'!F4:F503)),"")</f>
        <v/>
      </c>
      <c r="K8" s="234">
        <f>IFERROR(IF(OR(I8="",I8=0),"",J8/I8),"")</f>
        <v/>
      </c>
    </row>
    <row r="9" ht="24" customHeight="1" s="122">
      <c r="A9" s="235">
        <f>'MASTER DATA'!B8</f>
        <v/>
      </c>
      <c r="B9" s="236">
        <f>'MASTER DATA'!C8</f>
        <v/>
      </c>
      <c r="C9" s="235">
        <f>'MASTER DATA'!D8</f>
        <v/>
      </c>
      <c r="D9" s="230">
        <f>'MASTER DATA'!M8</f>
        <v/>
      </c>
      <c r="E9" s="231" t="n"/>
      <c r="F9" s="232" t="inlineStr">
        <is>
          <t>Belum</t>
        </is>
      </c>
      <c r="G9" s="231" t="n"/>
      <c r="H9" s="142" t="n"/>
      <c r="I9" s="233">
        <f>IFERROR(IF('MASTER DATA'!L8="Kualitatif",'MASTER DATA'!E8,""),"")</f>
        <v/>
      </c>
      <c r="J9" s="233">
        <f>IFERROR(IF(B9="","",SUMIF('INPUT HARIAN'!D4:D503,B9,'INPUT HARIAN'!F4:F503)),"")</f>
        <v/>
      </c>
      <c r="K9" s="234">
        <f>IFERROR(IF(OR(I9="",I9=0),"",J9/I9),"")</f>
        <v/>
      </c>
    </row>
    <row r="10" ht="24" customHeight="1" s="122">
      <c r="A10" s="228">
        <f>'MASTER DATA'!B9</f>
        <v/>
      </c>
      <c r="B10" s="229">
        <f>'MASTER DATA'!C9</f>
        <v/>
      </c>
      <c r="C10" s="228">
        <f>'MASTER DATA'!D9</f>
        <v/>
      </c>
      <c r="D10" s="230">
        <f>'MASTER DATA'!M9</f>
        <v/>
      </c>
      <c r="E10" s="231" t="n"/>
      <c r="F10" s="232" t="inlineStr">
        <is>
          <t>Belum</t>
        </is>
      </c>
      <c r="G10" s="231" t="n"/>
      <c r="H10" s="142" t="n"/>
      <c r="I10" s="233">
        <f>IFERROR(IF('MASTER DATA'!L9="Kualitatif",'MASTER DATA'!E9,""),"")</f>
        <v/>
      </c>
      <c r="J10" s="233">
        <f>IFERROR(IF(B10="","",SUMIF('INPUT HARIAN'!D4:D503,B10,'INPUT HARIAN'!F4:F503)),"")</f>
        <v/>
      </c>
      <c r="K10" s="234">
        <f>IFERROR(IF(OR(I10="",I10=0),"",J10/I10),"")</f>
        <v/>
      </c>
    </row>
    <row r="11" ht="24" customHeight="1" s="122">
      <c r="A11" s="235">
        <f>'MASTER DATA'!B10</f>
        <v/>
      </c>
      <c r="B11" s="236">
        <f>'MASTER DATA'!C10</f>
        <v/>
      </c>
      <c r="C11" s="235">
        <f>'MASTER DATA'!D10</f>
        <v/>
      </c>
      <c r="D11" s="230">
        <f>'MASTER DATA'!M10</f>
        <v/>
      </c>
      <c r="E11" s="231" t="n"/>
      <c r="F11" s="232" t="inlineStr">
        <is>
          <t>Belum</t>
        </is>
      </c>
      <c r="G11" s="231" t="n"/>
      <c r="H11" s="142" t="n"/>
      <c r="I11" s="233">
        <f>IFERROR(IF('MASTER DATA'!L10="Kualitatif",'MASTER DATA'!E10,""),"")</f>
        <v/>
      </c>
      <c r="J11" s="233">
        <f>IFERROR(IF(B11="","",SUMIF('INPUT HARIAN'!D4:D503,B11,'INPUT HARIAN'!F4:F503)),"")</f>
        <v/>
      </c>
      <c r="K11" s="234">
        <f>IFERROR(IF(OR(I11="",I11=0),"",J11/I11),"")</f>
        <v/>
      </c>
    </row>
    <row r="12" ht="24" customHeight="1" s="122">
      <c r="A12" s="228">
        <f>'MASTER DATA'!B11</f>
        <v/>
      </c>
      <c r="B12" s="229">
        <f>'MASTER DATA'!C11</f>
        <v/>
      </c>
      <c r="C12" s="228">
        <f>'MASTER DATA'!D11</f>
        <v/>
      </c>
      <c r="D12" s="230">
        <f>'MASTER DATA'!M11</f>
        <v/>
      </c>
      <c r="E12" s="231" t="n"/>
      <c r="F12" s="232" t="inlineStr">
        <is>
          <t>Belum</t>
        </is>
      </c>
      <c r="G12" s="231" t="n"/>
      <c r="H12" s="142" t="n"/>
      <c r="I12" s="233">
        <f>IFERROR(IF('MASTER DATA'!L11="Kualitatif",'MASTER DATA'!E11,""),"")</f>
        <v/>
      </c>
      <c r="J12" s="233">
        <f>IFERROR(IF(B12="","",SUMIF('INPUT HARIAN'!D4:D503,B12,'INPUT HARIAN'!F4:F503)),"")</f>
        <v/>
      </c>
      <c r="K12" s="234">
        <f>IFERROR(IF(OR(I12="",I12=0),"",J12/I12),"")</f>
        <v/>
      </c>
    </row>
    <row r="13" ht="24" customHeight="1" s="122">
      <c r="A13" s="235">
        <f>'MASTER DATA'!B12</f>
        <v/>
      </c>
      <c r="B13" s="236">
        <f>'MASTER DATA'!C12</f>
        <v/>
      </c>
      <c r="C13" s="235">
        <f>'MASTER DATA'!D12</f>
        <v/>
      </c>
      <c r="D13" s="230">
        <f>'MASTER DATA'!M12</f>
        <v/>
      </c>
      <c r="E13" s="231" t="n"/>
      <c r="F13" s="232" t="inlineStr">
        <is>
          <t>Belum</t>
        </is>
      </c>
      <c r="G13" s="231" t="n"/>
      <c r="H13" s="142" t="n"/>
      <c r="I13" s="233">
        <f>IFERROR(IF('MASTER DATA'!L12="Kualitatif",'MASTER DATA'!E12,""),"")</f>
        <v/>
      </c>
      <c r="J13" s="233">
        <f>IFERROR(IF(B13="","",SUMIF('INPUT HARIAN'!D4:D503,B13,'INPUT HARIAN'!F4:F503)),"")</f>
        <v/>
      </c>
      <c r="K13" s="234">
        <f>IFERROR(IF(OR(I13="",I13=0),"",J13/I13),"")</f>
        <v/>
      </c>
    </row>
    <row r="14" ht="24" customHeight="1" s="122">
      <c r="A14" s="228">
        <f>'MASTER DATA'!B13</f>
        <v/>
      </c>
      <c r="B14" s="229">
        <f>'MASTER DATA'!C13</f>
        <v/>
      </c>
      <c r="C14" s="228">
        <f>'MASTER DATA'!D13</f>
        <v/>
      </c>
      <c r="D14" s="230">
        <f>'MASTER DATA'!M13</f>
        <v/>
      </c>
      <c r="E14" s="231" t="n"/>
      <c r="F14" s="232" t="inlineStr">
        <is>
          <t>Belum</t>
        </is>
      </c>
      <c r="G14" s="231" t="n"/>
      <c r="H14" s="142" t="n"/>
      <c r="I14" s="233">
        <f>IFERROR(IF('MASTER DATA'!L13="Kualitatif",'MASTER DATA'!E13,""),"")</f>
        <v/>
      </c>
      <c r="J14" s="233">
        <f>IFERROR(IF(B14="","",SUMIF('INPUT HARIAN'!D4:D503,B14,'INPUT HARIAN'!F4:F503)),"")</f>
        <v/>
      </c>
      <c r="K14" s="234">
        <f>IFERROR(IF(OR(I14="",I14=0),"",J14/I14),"")</f>
        <v/>
      </c>
    </row>
    <row r="15" ht="24" customHeight="1" s="122">
      <c r="A15" s="235">
        <f>'MASTER DATA'!B14</f>
        <v/>
      </c>
      <c r="B15" s="236">
        <f>'MASTER DATA'!C14</f>
        <v/>
      </c>
      <c r="C15" s="235">
        <f>'MASTER DATA'!D14</f>
        <v/>
      </c>
      <c r="D15" s="230">
        <f>'MASTER DATA'!M14</f>
        <v/>
      </c>
      <c r="E15" s="231" t="n"/>
      <c r="F15" s="232" t="inlineStr">
        <is>
          <t>Belum</t>
        </is>
      </c>
      <c r="G15" s="231" t="n"/>
      <c r="H15" s="142" t="n"/>
      <c r="I15" s="233">
        <f>IFERROR(IF('MASTER DATA'!L14="Kualitatif",'MASTER DATA'!E14,""),"")</f>
        <v/>
      </c>
      <c r="J15" s="233">
        <f>IFERROR(IF(B15="","",SUMIF('INPUT HARIAN'!D4:D503,B15,'INPUT HARIAN'!F4:F503)),"")</f>
        <v/>
      </c>
      <c r="K15" s="234">
        <f>IFERROR(IF(OR(I15="",I15=0),"",J15/I15),"")</f>
        <v/>
      </c>
    </row>
    <row r="16" ht="24" customHeight="1" s="122">
      <c r="A16" s="228">
        <f>'MASTER DATA'!B15</f>
        <v/>
      </c>
      <c r="B16" s="229">
        <f>'MASTER DATA'!C15</f>
        <v/>
      </c>
      <c r="C16" s="228">
        <f>'MASTER DATA'!D15</f>
        <v/>
      </c>
      <c r="D16" s="230">
        <f>'MASTER DATA'!M15</f>
        <v/>
      </c>
      <c r="E16" s="231" t="n"/>
      <c r="F16" s="232" t="inlineStr">
        <is>
          <t>Belum</t>
        </is>
      </c>
      <c r="G16" s="231" t="n"/>
      <c r="H16" s="142" t="n"/>
      <c r="I16" s="233">
        <f>IFERROR(IF('MASTER DATA'!L15="Kualitatif",'MASTER DATA'!E15,""),"")</f>
        <v/>
      </c>
      <c r="J16" s="233">
        <f>IFERROR(IF(B16="","",SUMIF('INPUT HARIAN'!D4:D503,B16,'INPUT HARIAN'!F4:F503)),"")</f>
        <v/>
      </c>
      <c r="K16" s="234">
        <f>IFERROR(IF(OR(I16="",I16=0),"",J16/I16),"")</f>
        <v/>
      </c>
    </row>
    <row r="17" ht="24" customHeight="1" s="122">
      <c r="A17" s="235">
        <f>'MASTER DATA'!B16</f>
        <v/>
      </c>
      <c r="B17" s="236">
        <f>'MASTER DATA'!C16</f>
        <v/>
      </c>
      <c r="C17" s="235">
        <f>'MASTER DATA'!D16</f>
        <v/>
      </c>
      <c r="D17" s="230">
        <f>'MASTER DATA'!M16</f>
        <v/>
      </c>
      <c r="E17" s="231" t="n"/>
      <c r="F17" s="232" t="inlineStr">
        <is>
          <t>Belum</t>
        </is>
      </c>
      <c r="G17" s="231" t="n"/>
      <c r="H17" s="142" t="n"/>
      <c r="I17" s="233">
        <f>IFERROR(IF('MASTER DATA'!L16="Kualitatif",'MASTER DATA'!E16,""),"")</f>
        <v/>
      </c>
      <c r="J17" s="233">
        <f>IFERROR(IF(B17="","",SUMIF('INPUT HARIAN'!D4:D503,B17,'INPUT HARIAN'!F4:F503)),"")</f>
        <v/>
      </c>
      <c r="K17" s="234">
        <f>IFERROR(IF(OR(I17="",I17=0),"",J17/I17),"")</f>
        <v/>
      </c>
    </row>
    <row r="18" ht="24" customHeight="1" s="122">
      <c r="A18" s="228">
        <f>'MASTER DATA'!B17</f>
        <v/>
      </c>
      <c r="B18" s="229">
        <f>'MASTER DATA'!C17</f>
        <v/>
      </c>
      <c r="C18" s="228">
        <f>'MASTER DATA'!D17</f>
        <v/>
      </c>
      <c r="D18" s="230">
        <f>'MASTER DATA'!M17</f>
        <v/>
      </c>
      <c r="E18" s="231" t="n"/>
      <c r="F18" s="232" t="inlineStr">
        <is>
          <t>Belum</t>
        </is>
      </c>
      <c r="G18" s="231" t="n"/>
      <c r="H18" s="142" t="n"/>
      <c r="I18" s="233">
        <f>IFERROR(IF('MASTER DATA'!L17="Kualitatif",'MASTER DATA'!E17,""),"")</f>
        <v/>
      </c>
      <c r="J18" s="233">
        <f>IFERROR(IF(B18="","",SUMIF('INPUT HARIAN'!D4:D503,B18,'INPUT HARIAN'!F4:F503)),"")</f>
        <v/>
      </c>
      <c r="K18" s="234">
        <f>IFERROR(IF(OR(I18="",I18=0),"",J18/I18),"")</f>
        <v/>
      </c>
    </row>
    <row r="19" ht="24" customHeight="1" s="122">
      <c r="A19" s="235">
        <f>'MASTER DATA'!B18</f>
        <v/>
      </c>
      <c r="B19" s="236">
        <f>'MASTER DATA'!C18</f>
        <v/>
      </c>
      <c r="C19" s="235">
        <f>'MASTER DATA'!D18</f>
        <v/>
      </c>
      <c r="D19" s="230">
        <f>'MASTER DATA'!M18</f>
        <v/>
      </c>
      <c r="E19" s="231" t="n"/>
      <c r="F19" s="232" t="inlineStr">
        <is>
          <t>Belum</t>
        </is>
      </c>
      <c r="G19" s="231" t="n"/>
      <c r="H19" s="142" t="n"/>
      <c r="I19" s="233">
        <f>IFERROR(IF('MASTER DATA'!L18="Kualitatif",'MASTER DATA'!E18,""),"")</f>
        <v/>
      </c>
      <c r="J19" s="233">
        <f>IFERROR(IF(B19="","",SUMIF('INPUT HARIAN'!D4:D503,B19,'INPUT HARIAN'!F4:F503)),"")</f>
        <v/>
      </c>
      <c r="K19" s="234">
        <f>IFERROR(IF(OR(I19="",I19=0),"",J19/I19),"")</f>
        <v/>
      </c>
    </row>
    <row r="20" ht="24" customHeight="1" s="122">
      <c r="A20" s="228">
        <f>'MASTER DATA'!B19</f>
        <v/>
      </c>
      <c r="B20" s="229">
        <f>'MASTER DATA'!C19</f>
        <v/>
      </c>
      <c r="C20" s="228">
        <f>'MASTER DATA'!D19</f>
        <v/>
      </c>
      <c r="D20" s="230">
        <f>'MASTER DATA'!M19</f>
        <v/>
      </c>
      <c r="E20" s="231" t="n"/>
      <c r="F20" s="232" t="inlineStr">
        <is>
          <t>Belum</t>
        </is>
      </c>
      <c r="G20" s="231" t="n"/>
      <c r="H20" s="142" t="n"/>
      <c r="I20" s="233">
        <f>IFERROR(IF('MASTER DATA'!L19="Kualitatif",'MASTER DATA'!E19,""),"")</f>
        <v/>
      </c>
      <c r="J20" s="233">
        <f>IFERROR(IF(B20="","",SUMIF('INPUT HARIAN'!D4:D503,B20,'INPUT HARIAN'!F4:F503)),"")</f>
        <v/>
      </c>
      <c r="K20" s="234">
        <f>IFERROR(IF(OR(I20="",I20=0),"",J20/I20),"")</f>
        <v/>
      </c>
    </row>
    <row r="23" ht="24" customHeight="1" s="122">
      <c r="A23" s="237" t="inlineStr">
        <is>
          <t>📊  RINGKASAN STATUS TARGET KUALITATIF</t>
        </is>
      </c>
    </row>
    <row r="24" ht="21.75" customHeight="1" s="122">
      <c r="B24" s="238" t="inlineStr">
        <is>
          <t>Total Program Kualitatif</t>
        </is>
      </c>
      <c r="C24" s="239">
        <f>COUNTIF('MASTER DATA'!L5:L19,"Kualitatif")</f>
        <v/>
      </c>
    </row>
    <row r="25" ht="21.75" customHeight="1" s="122">
      <c r="B25" s="238" t="inlineStr">
        <is>
          <t>✅  Selesai</t>
        </is>
      </c>
      <c r="C25" s="239">
        <f>COUNTIF(F6:F20,"Selesai")</f>
        <v/>
      </c>
    </row>
    <row r="26" ht="21.75" customHeight="1" s="122">
      <c r="B26" s="238" t="inlineStr">
        <is>
          <t>⚙  Sedang Proses</t>
        </is>
      </c>
      <c r="C26" s="239">
        <f>COUNTIF(F6:F20,"Sedang Proses")</f>
        <v/>
      </c>
    </row>
    <row r="27" ht="21.75" customHeight="1" s="122">
      <c r="B27" s="238" t="inlineStr">
        <is>
          <t>❌  Belum Mulai</t>
        </is>
      </c>
      <c r="C27" s="239">
        <f>COUNTIF(F6:F20,"Belum")</f>
        <v/>
      </c>
    </row>
    <row r="28" ht="21.75" customHeight="1" s="122">
      <c r="B28" s="238" t="inlineStr">
        <is>
          <t>% Penyelesaian</t>
        </is>
      </c>
      <c r="C28" s="240">
        <f>IFERROR(COUNTIF(F6:F20,"Selesai")/COUNTIF('MASTER DATA'!L5:L19,"Kualitatif"),"")</f>
        <v/>
      </c>
    </row>
    <row r="31" ht="15" customHeight="1" s="122">
      <c r="B31" s="241" t="inlineStr">
        <is>
          <t>📌 LEGENDA STATUS:</t>
        </is>
      </c>
    </row>
    <row r="32" ht="19.5" customHeight="1" s="122">
      <c r="B32" s="242" t="inlineStr">
        <is>
          <t>Belum</t>
        </is>
      </c>
      <c r="C32" s="243" t="inlineStr">
        <is>
          <t>Pekerjaan/milestone belum dimulai</t>
        </is>
      </c>
    </row>
    <row r="33" ht="19.5" customHeight="1" s="122">
      <c r="B33" s="244" t="inlineStr">
        <is>
          <t>Sedang Proses</t>
        </is>
      </c>
      <c r="C33" s="243" t="inlineStr">
        <is>
          <t>Sedang berjalan, belum selesai</t>
        </is>
      </c>
    </row>
    <row r="34" ht="19.5" customHeight="1" s="122">
      <c r="B34" s="245" t="inlineStr">
        <is>
          <t>Selesai</t>
        </is>
      </c>
      <c r="C34" s="243" t="inlineStr">
        <is>
          <t>Target kualitatif telah tercapai ✅</t>
        </is>
      </c>
    </row>
  </sheetData>
  <mergeCells count="7">
    <mergeCell ref="A4:K4"/>
    <mergeCell ref="C34:G34"/>
    <mergeCell ref="C32:G32"/>
    <mergeCell ref="C33:G33"/>
    <mergeCell ref="A2:K2"/>
    <mergeCell ref="A1:K1"/>
    <mergeCell ref="A23:K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2026-04-07T00:57:42Z</dcterms:created>
  <dcterms:modified xmlns:dcterms="http://purl.org/dc/terms/" xmlns:xsi="http://www.w3.org/2001/XMLSchema-instance" xsi:type="dcterms:W3CDTF">2026-04-07T01:29:34Z</dcterms:modified>
  <cp:revision>0</cp:revision>
</cp:coreProperties>
</file>